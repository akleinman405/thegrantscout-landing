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SMF" sheetId="2" state="visible" r:id="rId2"/>
    <sheet xmlns:r="http://schemas.openxmlformats.org/officeDocument/2006/relationships" name="RHF" sheetId="3" state="visible" r:id="rId3"/>
    <sheet xmlns:r="http://schemas.openxmlformats.org/officeDocument/2006/relationships" name="SNS" sheetId="4" state="visible" r:id="rId4"/>
    <sheet xmlns:r="http://schemas.openxmlformats.org/officeDocument/2006/relationships" name="Horizons" sheetId="5" state="visible" r:id="rId5"/>
    <sheet xmlns:r="http://schemas.openxmlformats.org/officeDocument/2006/relationships" name="Friendship Circle" sheetId="6" state="visible" r:id="rId6"/>
    <sheet xmlns:r="http://schemas.openxmlformats.org/officeDocument/2006/relationships" name="Target Grant Examples" sheetId="7" state="visible" r:id="rId7"/>
    <sheet xmlns:r="http://schemas.openxmlformats.org/officeDocument/2006/relationships" name="Phase 2 Researc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164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7"/>
  <sheetViews>
    <sheetView zoomScale="14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2" max="2"/>
    <col width="12" customWidth="1" min="3" max="3"/>
    <col width="12" customWidth="1" min="4" max="4"/>
    <col width="15" customWidth="1" min="5" max="5"/>
    <col width="18" customWidth="1" min="6" max="6"/>
    <col width="80" customWidth="1" min="7" max="7"/>
  </cols>
  <sheetData>
    <row r="2">
      <c r="B2" s="1" t="inlineStr">
        <is>
          <t>Client</t>
        </is>
      </c>
      <c r="C2" s="1" t="inlineStr">
        <is>
          <t>EIN</t>
        </is>
      </c>
      <c r="D2" s="1" t="inlineStr">
        <is>
          <t>Candidates</t>
        </is>
      </c>
      <c r="E2" s="1" t="inlineStr">
        <is>
          <t>Gold Standard &gt;0</t>
        </is>
      </c>
      <c r="F2" s="1" t="inlineStr">
        <is>
          <t>Target Grants Total</t>
        </is>
      </c>
      <c r="G2" s="1" t="inlineStr">
        <is>
          <t>Top 5 Foundations</t>
        </is>
      </c>
    </row>
    <row r="3">
      <c r="B3" s="4" t="inlineStr">
        <is>
          <t>PSMF</t>
        </is>
      </c>
      <c r="C3" s="4" t="inlineStr">
        <is>
          <t>462730379</t>
        </is>
      </c>
      <c r="D3" s="4" t="n">
        <v>5</v>
      </c>
      <c r="E3" s="4" t="n">
        <v>0</v>
      </c>
      <c r="F3" s="4" t="n">
        <v>0</v>
      </c>
      <c r="G3" s="4" t="inlineStr">
        <is>
          <t>JOSIAH MACY JR FOUNDATION, The Commonwealth Fund, WK Kellogg Foundation, THE JOHN A HARTFORD FOUNDAT</t>
        </is>
      </c>
    </row>
    <row r="4">
      <c r="B4" s="4" t="inlineStr">
        <is>
          <t>RHF</t>
        </is>
      </c>
      <c r="C4" s="4" t="inlineStr">
        <is>
          <t>952249495</t>
        </is>
      </c>
      <c r="D4" s="4" t="n">
        <v>15</v>
      </c>
      <c r="E4" s="4" t="n">
        <v>5</v>
      </c>
      <c r="F4" s="4" t="n">
        <v>55</v>
      </c>
      <c r="G4" s="4" t="inlineStr">
        <is>
          <t>MEYER MEMORIAL TRUST, CONRAD N HILTON FOUNDATION, THE AHMANSON FOUNDATION, THE LOTUS US FOUNDATION I</t>
        </is>
      </c>
    </row>
    <row r="5">
      <c r="B5" s="4" t="inlineStr">
        <is>
          <t>SNS</t>
        </is>
      </c>
      <c r="C5" s="4" t="inlineStr">
        <is>
          <t>942259716</t>
        </is>
      </c>
      <c r="D5" s="4" t="n">
        <v>15</v>
      </c>
      <c r="E5" s="4" t="n">
        <v>1</v>
      </c>
      <c r="F5" s="4" t="n">
        <v>39</v>
      </c>
      <c r="G5" s="4" t="inlineStr">
        <is>
          <t>CHRISTINE &amp; JALMER BERG FOUNDATION, OLESON FOUNDATION, Anschutz Family Foundation, MCKEEN FUND, WHIT</t>
        </is>
      </c>
    </row>
    <row r="6">
      <c r="B6" s="4" t="inlineStr">
        <is>
          <t>Horizons</t>
        </is>
      </c>
      <c r="C6" s="4" t="inlineStr">
        <is>
          <t>061468129</t>
        </is>
      </c>
      <c r="D6" s="4" t="n">
        <v>9</v>
      </c>
      <c r="E6" s="4" t="n">
        <v>0</v>
      </c>
      <c r="F6" s="4" t="n">
        <v>17</v>
      </c>
      <c r="G6" s="4" t="inlineStr">
        <is>
          <t>GEORGIA POWER FOUNDATION INC, Joseph B Whitehead Foundation, AEC Trust, THE CALIFORNIA WELLNESS FOUN</t>
        </is>
      </c>
    </row>
    <row r="7">
      <c r="B7" s="4" t="inlineStr">
        <is>
          <t>Friendship Circle</t>
        </is>
      </c>
      <c r="C7" s="4" t="inlineStr">
        <is>
          <t>203472700</t>
        </is>
      </c>
      <c r="D7" s="4" t="n">
        <v>10</v>
      </c>
      <c r="E7" s="4" t="n">
        <v>3</v>
      </c>
      <c r="F7" s="4" t="n">
        <v>13</v>
      </c>
      <c r="G7" s="4" t="inlineStr">
        <is>
          <t>STANLEY W EKSTROM FOUNDATION INC, RUSSELL J SALVATORE FOUNDATION, OAK TREE CHARITABLE FOUNDATION, 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U7"/>
  <sheetViews>
    <sheetView zoomScale="14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2" max="2"/>
    <col width="12" customWidth="1" min="3" max="3"/>
    <col width="6" customWidth="1" min="4" max="4"/>
    <col width="15" customWidth="1" min="5" max="5"/>
    <col width="12" customWidth="1" min="6" max="6"/>
    <col width="12" customWidth="1" min="7" max="7"/>
    <col width="15" customWidth="1" min="8" max="8"/>
    <col width="15" customWidth="1" min="9" max="9"/>
    <col width="18" customWidth="1" min="10" max="10"/>
    <col width="15" customWidth="1" min="11" max="11"/>
    <col width="15" customWidth="1" min="12" max="12"/>
    <col width="8" customWidth="1" min="13" max="13"/>
    <col width="40" customWidth="1" min="14" max="14"/>
    <col width="45" customWidth="1" min="15" max="15"/>
    <col width="45" customWidth="1" min="16" max="16"/>
    <col width="45" customWidth="1" min="17" max="17"/>
    <col width="18" customWidth="1" min="18" max="18"/>
    <col width="30" customWidth="1" min="19" max="19"/>
    <col width="80" customWidth="1" min="20" max="20"/>
    <col width="45" customWidth="1" min="21" max="21"/>
  </cols>
  <sheetData>
    <row r="2">
      <c r="B2" s="3" t="inlineStr">
        <is>
          <t>Foundation Name</t>
        </is>
      </c>
      <c r="C2" s="3" t="inlineStr">
        <is>
          <t>EIN</t>
        </is>
      </c>
      <c r="D2" s="3" t="inlineStr">
        <is>
          <t>State</t>
        </is>
      </c>
      <c r="E2" s="3" t="inlineStr">
        <is>
          <t>Assets</t>
        </is>
      </c>
      <c r="F2" s="3" t="inlineStr">
        <is>
          <t>Target Grants</t>
        </is>
      </c>
      <c r="G2" s="3" t="inlineStr">
        <is>
          <t>Gold Standard</t>
        </is>
      </c>
      <c r="H2" s="3" t="inlineStr">
        <is>
          <t>Total to Siblings</t>
        </is>
      </c>
      <c r="I2" s="3" t="inlineStr">
        <is>
          <t>Median Grant</t>
        </is>
      </c>
      <c r="J2" s="3" t="inlineStr">
        <is>
          <t>Grant Range</t>
        </is>
      </c>
      <c r="K2" s="3" t="inlineStr">
        <is>
          <t>States Funded</t>
        </is>
      </c>
      <c r="L2" s="3" t="inlineStr">
        <is>
          <t>Most Recent Year</t>
        </is>
      </c>
      <c r="M2" s="3" t="inlineStr">
        <is>
          <t>IRS Open</t>
        </is>
      </c>
      <c r="N2" s="3" t="inlineStr">
        <is>
          <t>Website</t>
        </is>
      </c>
      <c r="O2" s="3" t="inlineStr">
        <is>
          <t>Sample Grant 1</t>
        </is>
      </c>
      <c r="P2" s="3" t="inlineStr">
        <is>
          <t>Sample Grant 2</t>
        </is>
      </c>
      <c r="Q2" s="3" t="inlineStr">
        <is>
          <t>Sample Grant 3</t>
        </is>
      </c>
      <c r="R2" s="3" t="inlineStr">
        <is>
          <t>Verification Status</t>
        </is>
      </c>
      <c r="S2" s="3" t="inlineStr">
        <is>
          <t>Verification Notes</t>
        </is>
      </c>
      <c r="T2" s="1" t="inlineStr">
        <is>
          <t>Fit Assessment</t>
        </is>
      </c>
      <c r="U2" s="1" t="inlineStr">
        <is>
          <t>Discovery Stage</t>
        </is>
      </c>
    </row>
    <row r="3">
      <c r="B3" s="4" t="inlineStr">
        <is>
          <t>JOSIAH MACY JR FOUNDATION</t>
        </is>
      </c>
      <c r="C3" s="4" t="inlineStr">
        <is>
          <t>135596895</t>
        </is>
      </c>
      <c r="D3" s="4" t="inlineStr">
        <is>
          <t>NY</t>
        </is>
      </c>
      <c r="E3" s="6" t="n">
        <v>141343941</v>
      </c>
      <c r="F3" s="4" t="n">
        <v>0</v>
      </c>
      <c r="G3" s="4" t="n">
        <v>0</v>
      </c>
      <c r="H3" s="4" t="n">
        <v>44</v>
      </c>
      <c r="I3" s="6" t="n">
        <v>49471</v>
      </c>
      <c r="J3" s="4" t="inlineStr">
        <is>
          <t>$1,550 - $200,000</t>
        </is>
      </c>
      <c r="K3" s="4" t="inlineStr"/>
      <c r="L3" s="4" t="n">
        <v>2024</v>
      </c>
      <c r="M3" s="4" t="inlineStr">
        <is>
          <t>TRUE</t>
        </is>
      </c>
      <c r="N3" s="4" t="inlineStr">
        <is>
          <t>WWW.MACYFOUNDATION.ORG</t>
        </is>
      </c>
      <c r="O3" s="4" t="inlineStr">
        <is>
          <t>UNIVERSITY OF SOUTHERN CALIFORNIA: $140,000 for TO SUPPORT THE WORK AS A JOSIAH MACY JR. FOUNDATIO... (2022)</t>
        </is>
      </c>
      <c r="P3" s="4" t="inlineStr">
        <is>
          <t>THE DENVER HEALTH AND HOSPITALS FOUNDATI: $138,200 for TO SUPPORT THE WORK AS A JOSIAH MACY JR. FOUNDATIO... (2022)</t>
        </is>
      </c>
      <c r="Q3" s="4" t="inlineStr">
        <is>
          <t>UNIVERSITY OF WASHINGTON: $133,200 for TO SUPPORT THE WORK AS A JOSIAH MACY JR. FOUNDATIO... (2022)</t>
        </is>
      </c>
      <c r="R3" s="4" t="inlineStr">
        <is>
          <t>Verified Open</t>
        </is>
      </c>
      <c r="S3" s="4" t="inlineStr">
        <is>
          <t>Accepts LOI rolling (President's Grants up to $25K) and annual RFA (Board Grants up to $100K/yr). Healthcare education focus. US only.</t>
        </is>
      </c>
      <c r="T3" s="7" t="inlineStr">
        <is>
          <t>STRONG FIT: Healthcare education focus directly aligns with PSMF Fellowship Program. Accepts LOI rolling. Grant range $25K-$100K.</t>
        </is>
      </c>
      <c r="U3" t="inlineStr">
        <is>
          <t>Phase B - Verified</t>
        </is>
      </c>
    </row>
    <row r="4">
      <c r="B4" s="4" t="inlineStr">
        <is>
          <t>The Commonwealth Fund</t>
        </is>
      </c>
      <c r="C4" s="4" t="inlineStr">
        <is>
          <t>131635260</t>
        </is>
      </c>
      <c r="D4" s="4" t="inlineStr">
        <is>
          <t>NY</t>
        </is>
      </c>
      <c r="E4" s="6" t="n">
        <v>875566732</v>
      </c>
      <c r="F4" s="4" t="n">
        <v>0</v>
      </c>
      <c r="G4" s="4" t="n">
        <v>0</v>
      </c>
      <c r="H4" s="4" t="n">
        <v>518</v>
      </c>
      <c r="I4" s="6" t="n">
        <v>15000</v>
      </c>
      <c r="J4" s="4" t="inlineStr">
        <is>
          <t>$35 - $2,317,858</t>
        </is>
      </c>
      <c r="K4" s="4" t="inlineStr"/>
      <c r="L4" s="4" t="n">
        <v>2024</v>
      </c>
      <c r="M4" s="4" t="inlineStr">
        <is>
          <t>TRUE</t>
        </is>
      </c>
      <c r="N4" s="4" t="inlineStr">
        <is>
          <t>www.commonwealthfund.org</t>
        </is>
      </c>
      <c r="O4" s="4" t="inlineStr">
        <is>
          <t>COMMONWEALTH FUND: $2,317,858 for Harkness Fellowships in Health Care Policy and Pra... (2023)</t>
        </is>
      </c>
      <c r="P4" s="4" t="inlineStr">
        <is>
          <t>PRESIDENT AND FELLOWS OF HARVARD COLLEGE: $853,202 for The Commonwealth Fund Fellowship in Minority Healt... (2023)</t>
        </is>
      </c>
      <c r="Q4" s="4" t="inlineStr">
        <is>
          <t>GEORGETOWN UNIVERSITY: $632,272 for Monitoring and Analysis of Private Insurance Refor... (2023)</t>
        </is>
      </c>
      <c r="R4" s="4" t="inlineStr">
        <is>
          <t>Verified Open</t>
        </is>
      </c>
      <c r="S4" s="4" t="inlineStr">
        <is>
          <t>Accepts LOI rolling via grants portal. Health care policy focus. Response in 6 weeks.</t>
        </is>
      </c>
      <c r="T4" s="7" t="inlineStr">
        <is>
          <t>STRONG FIT: Healthcare policy focus aligns with PSMF advocacy. Large grants possible ($178K avg). Accepts LOI rolling.</t>
        </is>
      </c>
      <c r="U4" t="inlineStr">
        <is>
          <t>Phase B - Verified</t>
        </is>
      </c>
    </row>
    <row r="5">
      <c r="B5" s="4" t="inlineStr">
        <is>
          <t>WK Kellogg Foundation</t>
        </is>
      </c>
      <c r="C5" s="4" t="inlineStr">
        <is>
          <t>381359264</t>
        </is>
      </c>
      <c r="D5" s="4" t="inlineStr">
        <is>
          <t>MI</t>
        </is>
      </c>
      <c r="E5" s="6" t="n">
        <v>454402214</v>
      </c>
      <c r="F5" s="4" t="n">
        <v>0</v>
      </c>
      <c r="G5" s="4" t="n">
        <v>0</v>
      </c>
      <c r="H5" s="4" t="n">
        <v>1745</v>
      </c>
      <c r="I5" s="6" t="n">
        <v>100000</v>
      </c>
      <c r="J5" s="4" t="inlineStr">
        <is>
          <t>$50 - $12,000,000</t>
        </is>
      </c>
      <c r="K5" s="4" t="inlineStr"/>
      <c r="L5" s="4" t="n">
        <v>2024</v>
      </c>
      <c r="M5" s="4" t="inlineStr">
        <is>
          <t>TRUE</t>
        </is>
      </c>
      <c r="N5" s="4" t="inlineStr">
        <is>
          <t>www.wkkf.org</t>
        </is>
      </c>
      <c r="O5" s="4" t="inlineStr">
        <is>
          <t>Unknown: $4,650,000 for Early Care and Education... (2023)</t>
        </is>
      </c>
      <c r="P5" s="4" t="inlineStr">
        <is>
          <t>CENTER FOR CREATIVE LEADERSHIP: $4,606,375 for Promise of an Equitable Future... (2023)</t>
        </is>
      </c>
      <c r="Q5" s="4" t="inlineStr">
        <is>
          <t>GRAND VALLEY STATE UNIVERSITY: $3,500,000 for Jobs and Family Economic Security... (2023)</t>
        </is>
      </c>
      <c r="R5" s="4" t="inlineStr">
        <is>
          <t>Verified Open</t>
        </is>
      </c>
      <c r="S5" s="4" t="inlineStr">
        <is>
          <t>Accepts LOI via Fluxx portal. Priority places: MI, MS, NM, New Orleans. Response in 30 business days.</t>
        </is>
      </c>
      <c r="T5" s="8" t="inlineStr">
        <is>
          <t>WEAK FIT: Large national funder but focus is children/families/racial equity, NOT healthcare quality or patient safety. No evidence of patient safety grants.</t>
        </is>
      </c>
      <c r="U5" t="inlineStr">
        <is>
          <t>Phase B - Match review found mission mismatch</t>
        </is>
      </c>
    </row>
    <row r="6">
      <c r="B6" s="4" t="inlineStr">
        <is>
          <t>THE JOHN A HARTFORD FOUNDATION INC</t>
        </is>
      </c>
      <c r="C6" s="4" t="inlineStr">
        <is>
          <t>131667057</t>
        </is>
      </c>
      <c r="D6" s="4" t="inlineStr">
        <is>
          <t>NY</t>
        </is>
      </c>
      <c r="E6" s="6" t="n">
        <v>675031343</v>
      </c>
      <c r="F6" s="4" t="n">
        <v>0</v>
      </c>
      <c r="G6" s="4" t="n">
        <v>0</v>
      </c>
      <c r="H6" s="4" t="n">
        <v>91</v>
      </c>
      <c r="I6" s="6" t="n">
        <v>96210</v>
      </c>
      <c r="J6" s="4" t="inlineStr">
        <is>
          <t>$300 - $2,145,256</t>
        </is>
      </c>
      <c r="K6" s="4" t="inlineStr"/>
      <c r="L6" s="4" t="n">
        <v>2024</v>
      </c>
      <c r="M6" s="4" t="inlineStr">
        <is>
          <t>TRUE</t>
        </is>
      </c>
      <c r="N6" s="4" t="inlineStr">
        <is>
          <t>WWW.JOHNAHARTFORD.ORG</t>
        </is>
      </c>
      <c r="O6" s="4" t="inlineStr">
        <is>
          <t>INSTITUTE FOR HEALTHCARE IMPROVEMENT: $2,145,256 for Safe Passage: Implementing Safe and Reliable Care ... (2023)</t>
        </is>
      </c>
      <c r="P6" s="4" t="inlineStr">
        <is>
          <t>HEALTH CAREERS FUTURES: $1,585,880 for Revisiting the Teaching Nursing Home... (2023)</t>
        </is>
      </c>
      <c r="Q6" s="4" t="inlineStr">
        <is>
          <t>USAGING: $998,320 for Building the Capacity of the Aging and Disability ... (2023)</t>
        </is>
      </c>
      <c r="R6" s="4" t="inlineStr">
        <is>
          <t>Invite Only</t>
        </is>
      </c>
      <c r="S6" s="4" t="inlineStr">
        <is>
          <t>DOES NOT accept unsolicited proposals. Grants by invitation only. Age-Friendly Health Systems focus.</t>
        </is>
      </c>
      <c r="T6" s="7" t="inlineStr">
        <is>
          <t>EXCELLENT FIT: Has funded IHI $2.1M for "Safe Passage: Safe Care for Elderly" - identical to PSMF mission. BUT INVITE ONLY - cannot apply unsolicited.</t>
        </is>
      </c>
      <c r="U6" t="inlineStr">
        <is>
          <t>Phase B - Verified invite only</t>
        </is>
      </c>
    </row>
    <row r="7">
      <c r="B7" s="4" t="inlineStr">
        <is>
          <t>The Schooner Foundation</t>
        </is>
      </c>
      <c r="C7" s="4" t="inlineStr">
        <is>
          <t>043347626</t>
        </is>
      </c>
      <c r="D7" s="4" t="inlineStr">
        <is>
          <t>MA</t>
        </is>
      </c>
      <c r="E7" s="6" t="n">
        <v>248732681</v>
      </c>
      <c r="F7" s="4" t="n">
        <v>0</v>
      </c>
      <c r="G7" s="4" t="n">
        <v>0</v>
      </c>
      <c r="H7" s="4" t="n">
        <v>107</v>
      </c>
      <c r="I7" s="6" t="n">
        <v>25000</v>
      </c>
      <c r="J7" s="4" t="inlineStr">
        <is>
          <t>$1,000 - $2,466,706</t>
        </is>
      </c>
      <c r="K7" s="4" t="inlineStr"/>
      <c r="L7" s="4" t="n">
        <v>2024</v>
      </c>
      <c r="M7" s="4" t="inlineStr">
        <is>
          <t>TRUE</t>
        </is>
      </c>
      <c r="N7" s="4" t="inlineStr">
        <is>
          <t>https://www.insidephilanthropy.com/find-a-grant/grants-s/schooner-foundation</t>
        </is>
      </c>
      <c r="O7" s="4" t="inlineStr">
        <is>
          <t>HERE RIGHT MATTERS: $500,000 for Ukraine Medic Education... (2023)</t>
        </is>
      </c>
      <c r="P7" s="4" t="inlineStr">
        <is>
          <t>STATE LEADERSHIP PROJECT: $500,000 for Strategic Victory Fund's Megaphone Program... (2023)</t>
        </is>
      </c>
      <c r="Q7" s="4" t="inlineStr">
        <is>
          <t>TRUSTEES OF BOSTON UNIVERSITY: $500,000 for BU Center for Forced Displacement... (2023)</t>
        </is>
      </c>
      <c r="R7" s="4" t="inlineStr">
        <is>
          <t>Invite Only</t>
        </is>
      </c>
      <c r="S7" s="4" t="inlineStr">
        <is>
          <t>DOES NOT accept unsolicited proposals. Invite only. Contact: isabel@schoonerfoundation.org</t>
        </is>
      </c>
      <c r="T7" s="9" t="inlineStr">
        <is>
          <t>NO FIT: Grants focus on democracy, refugees, international issues. No healthcare quality funding. INVITE ONLY. Zero alignment with patient safety.</t>
        </is>
      </c>
      <c r="U7" t="inlineStr">
        <is>
          <t>Phase B - Match review found no alignment</t>
        </is>
      </c>
    </row>
  </sheetData>
  <dataValidations count="1">
    <dataValidation sqref="R3:R7" showDropDown="0" showInputMessage="0" showErrorMessage="0" allowBlank="1" type="list">
      <formula1>"Verified Open,Invite Only,Needs Review"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U17"/>
  <sheetViews>
    <sheetView zoomScale="14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2" max="2"/>
    <col width="12" customWidth="1" min="3" max="3"/>
    <col width="6" customWidth="1" min="4" max="4"/>
    <col width="15" customWidth="1" min="5" max="5"/>
    <col width="12" customWidth="1" min="6" max="6"/>
    <col width="12" customWidth="1" min="7" max="7"/>
    <col width="15" customWidth="1" min="8" max="8"/>
    <col width="15" customWidth="1" min="9" max="9"/>
    <col width="18" customWidth="1" min="10" max="10"/>
    <col width="15" customWidth="1" min="11" max="11"/>
    <col width="15" customWidth="1" min="12" max="12"/>
    <col width="8" customWidth="1" min="13" max="13"/>
    <col width="40" customWidth="1" min="14" max="14"/>
    <col width="45" customWidth="1" min="15" max="15"/>
    <col width="45" customWidth="1" min="16" max="16"/>
    <col width="45" customWidth="1" min="17" max="17"/>
    <col width="18" customWidth="1" min="18" max="18"/>
    <col width="30" customWidth="1" min="19" max="19"/>
    <col width="80" customWidth="1" min="20" max="20"/>
    <col width="45" customWidth="1" min="21" max="21"/>
  </cols>
  <sheetData>
    <row r="2">
      <c r="B2" s="3" t="inlineStr">
        <is>
          <t>Foundation Name</t>
        </is>
      </c>
      <c r="C2" s="3" t="inlineStr">
        <is>
          <t>EIN</t>
        </is>
      </c>
      <c r="D2" s="3" t="inlineStr">
        <is>
          <t>State</t>
        </is>
      </c>
      <c r="E2" s="3" t="inlineStr">
        <is>
          <t>Assets</t>
        </is>
      </c>
      <c r="F2" s="3" t="inlineStr">
        <is>
          <t>Target Grants</t>
        </is>
      </c>
      <c r="G2" s="3" t="inlineStr">
        <is>
          <t>Gold Standard</t>
        </is>
      </c>
      <c r="H2" s="3" t="inlineStr">
        <is>
          <t>Total to Siblings</t>
        </is>
      </c>
      <c r="I2" s="3" t="inlineStr">
        <is>
          <t>Median Grant</t>
        </is>
      </c>
      <c r="J2" s="3" t="inlineStr">
        <is>
          <t>Grant Range</t>
        </is>
      </c>
      <c r="K2" s="3" t="inlineStr">
        <is>
          <t>States Funded</t>
        </is>
      </c>
      <c r="L2" s="3" t="inlineStr">
        <is>
          <t>Most Recent Year</t>
        </is>
      </c>
      <c r="M2" s="3" t="inlineStr">
        <is>
          <t>IRS Open</t>
        </is>
      </c>
      <c r="N2" s="3" t="inlineStr">
        <is>
          <t>Website</t>
        </is>
      </c>
      <c r="O2" s="3" t="inlineStr">
        <is>
          <t>Sample Grant 1</t>
        </is>
      </c>
      <c r="P2" s="3" t="inlineStr">
        <is>
          <t>Sample Grant 2</t>
        </is>
      </c>
      <c r="Q2" s="3" t="inlineStr">
        <is>
          <t>Sample Grant 3</t>
        </is>
      </c>
      <c r="R2" s="3" t="inlineStr">
        <is>
          <t>Verification Status</t>
        </is>
      </c>
      <c r="S2" s="3" t="inlineStr">
        <is>
          <t>Verification Notes</t>
        </is>
      </c>
      <c r="T2" s="1" t="inlineStr">
        <is>
          <t>Fit Assessment</t>
        </is>
      </c>
      <c r="U2" s="1" t="inlineStr">
        <is>
          <t>Discovery Stage</t>
        </is>
      </c>
    </row>
    <row r="3">
      <c r="B3" s="4" t="inlineStr">
        <is>
          <t>MEYER MEMORIAL TRUST</t>
        </is>
      </c>
      <c r="C3" s="4" t="inlineStr">
        <is>
          <t>930806316</t>
        </is>
      </c>
      <c r="D3" s="4" t="inlineStr">
        <is>
          <t>OR</t>
        </is>
      </c>
      <c r="E3" s="6" t="n">
        <v>885167113</v>
      </c>
      <c r="F3" s="4" t="n">
        <v>15</v>
      </c>
      <c r="G3" s="4" t="n">
        <v>1</v>
      </c>
      <c r="H3" s="4" t="n">
        <v>37</v>
      </c>
      <c r="I3" s="6" t="n">
        <v>40000</v>
      </c>
      <c r="J3" s="4" t="inlineStr">
        <is>
          <t>$30 - $3,000,000</t>
        </is>
      </c>
      <c r="K3" s="4" t="inlineStr"/>
      <c r="L3" s="4" t="n">
        <v>2023</v>
      </c>
      <c r="M3" s="4" t="inlineStr">
        <is>
          <t>TRUE</t>
        </is>
      </c>
      <c r="N3" s="4" t="inlineStr">
        <is>
          <t>WWW.MMT.ORG</t>
        </is>
      </c>
      <c r="O3" s="4" t="inlineStr">
        <is>
          <t>NORTHWEST HOUSING ALTERNATIVES INC: $60,000 for For support of wrap-around services and community-... (2018)</t>
        </is>
      </c>
      <c r="P3" s="4" t="inlineStr">
        <is>
          <t>NORTHWEST HOUSING ALTERNATIVES INC: $40,000 for For support of wrap-around services and community-... (2019)</t>
        </is>
      </c>
      <c r="Q3" s="4" t="inlineStr">
        <is>
          <t>NORTHWEST HOUSING ALTERNATIVES INC: $175,000 for To support the urgent relocation of seniors in aff... (2021)</t>
        </is>
      </c>
      <c r="R3" s="4" t="inlineStr">
        <is>
          <t>Verified Open</t>
        </is>
      </c>
      <c r="S3" s="4" t="inlineStr">
        <is>
          <t>Oregon only. Online portal. Focus: racial/social justice, environment. Not senior housing specific.</t>
        </is>
      </c>
      <c r="T3" s="7" t="inlineStr">
        <is>
          <t>STRONG FIT: Funded NW Housing Alternatives $175K for "urgent relocation of seniors in affordable housing" - exact match. Oregon only.</t>
        </is>
      </c>
      <c r="U3" t="inlineStr">
        <is>
          <t>Phase B - Verified</t>
        </is>
      </c>
    </row>
    <row r="4">
      <c r="B4" s="4" t="inlineStr">
        <is>
          <t>CONRAD N HILTON FOUNDATION</t>
        </is>
      </c>
      <c r="C4" s="4" t="inlineStr">
        <is>
          <t>943100217</t>
        </is>
      </c>
      <c r="D4" s="4" t="inlineStr">
        <is>
          <t>CA</t>
        </is>
      </c>
      <c r="E4" s="6" t="n">
        <v>7099706570</v>
      </c>
      <c r="F4" s="4" t="n">
        <v>2</v>
      </c>
      <c r="G4" s="4" t="n">
        <v>1</v>
      </c>
      <c r="H4" s="4" t="n">
        <v>21</v>
      </c>
      <c r="I4" s="6" t="n">
        <v>21000</v>
      </c>
      <c r="J4" s="4" t="inlineStr">
        <is>
          <t>$90 - $15,500,000</t>
        </is>
      </c>
      <c r="K4" s="4" t="inlineStr"/>
      <c r="L4" s="4" t="n">
        <v>2023</v>
      </c>
      <c r="M4" s="4" t="inlineStr">
        <is>
          <t>TRUE</t>
        </is>
      </c>
      <c r="N4" s="4" t="inlineStr">
        <is>
          <t>WWW.HILTONFOUNDATION.ORG</t>
        </is>
      </c>
      <c r="O4" s="4" t="inlineStr">
        <is>
          <t>BRILLIANT CORNERS: $1,235,000 for TO SUPPORT A PARTNERSHIP WITH LOS ANGELES COUNTY'S... (2023)</t>
        </is>
      </c>
      <c r="P4" s="4" t="inlineStr">
        <is>
          <t>DECRO CORPORATION: $300,000 for TO SUPPORT THE DEVELOPMENT OF 24 UNITS OF SUPPORTI... (2022)</t>
        </is>
      </c>
      <c r="Q4" s="4" t="inlineStr"/>
      <c r="R4" s="4" t="inlineStr">
        <is>
          <t>Invite Only</t>
        </is>
      </c>
      <c r="S4" s="4" t="inlineStr">
        <is>
          <t>DOES NOT accept unsolicited proposals. Proactively seeks initiatives. Focus: foster youth, refugees, homelessness.</t>
        </is>
      </c>
      <c r="T4" s="8" t="inlineStr">
        <is>
          <t>MODERATE FIT: Funds housing but focus is foster youth/homelessness not senior housing specifically. INVITE ONLY.</t>
        </is>
      </c>
      <c r="U4" t="inlineStr">
        <is>
          <t>Phase B - Verified invite only</t>
        </is>
      </c>
    </row>
    <row r="5">
      <c r="B5" s="4" t="inlineStr">
        <is>
          <t>THE AHMANSON FOUNDATION</t>
        </is>
      </c>
      <c r="C5" s="4" t="inlineStr">
        <is>
          <t>956089998</t>
        </is>
      </c>
      <c r="D5" s="4" t="inlineStr">
        <is>
          <t>CA</t>
        </is>
      </c>
      <c r="E5" s="6" t="n">
        <v>1229560863</v>
      </c>
      <c r="F5" s="4" t="n">
        <v>1</v>
      </c>
      <c r="G5" s="4" t="n">
        <v>1</v>
      </c>
      <c r="H5" s="4" t="n">
        <v>3</v>
      </c>
      <c r="I5" s="6" t="n">
        <v>50000</v>
      </c>
      <c r="J5" s="4" t="inlineStr">
        <is>
          <t>$2,000 - $12,000,000</t>
        </is>
      </c>
      <c r="K5" s="4" t="inlineStr"/>
      <c r="L5" s="4" t="n">
        <v>2022</v>
      </c>
      <c r="M5" s="4" t="inlineStr">
        <is>
          <t>TRUE</t>
        </is>
      </c>
      <c r="N5" s="4" t="inlineStr">
        <is>
          <t>WWW.THEAHMANSONFOUNDATION.ORG</t>
        </is>
      </c>
      <c r="O5" s="4" t="inlineStr">
        <is>
          <t>ABODE COMMUNITIES: $418,000 for FOR BEYOND HOMES VIRTUAL EXPANSION AND REMOTE OPER... (2020)</t>
        </is>
      </c>
      <c r="P5" s="4" t="inlineStr"/>
      <c r="Q5" s="4" t="inlineStr"/>
      <c r="R5" s="4" t="inlineStr">
        <is>
          <t>Verified Open</t>
        </is>
      </c>
      <c r="S5" s="4" t="inlineStr">
        <is>
          <t>LA County only. LOI 1-3 pages via portal. HAS FUNDED senior housing (Triangle Square). Response 10 days-3 months.</t>
        </is>
      </c>
      <c r="T5" s="7" t="inlineStr">
        <is>
          <t>STRONG FIT: Has funded senior housing (Triangle Square). LA County only. Accepts LOI 1-3 pages. Good for CA properties.</t>
        </is>
      </c>
      <c r="U5" t="inlineStr">
        <is>
          <t>Phase B - Verified</t>
        </is>
      </c>
    </row>
    <row r="6">
      <c r="B6" s="4" t="inlineStr">
        <is>
          <t>THE LOTUS US FOUNDATION INC</t>
        </is>
      </c>
      <c r="C6" s="4" t="inlineStr">
        <is>
          <t>202582346</t>
        </is>
      </c>
      <c r="D6" s="4" t="inlineStr">
        <is>
          <t>CA</t>
        </is>
      </c>
      <c r="E6" s="6" t="n">
        <v>1646167</v>
      </c>
      <c r="F6" s="4" t="n">
        <v>1</v>
      </c>
      <c r="G6" s="4" t="n">
        <v>1</v>
      </c>
      <c r="H6" s="4" t="n">
        <v>1</v>
      </c>
      <c r="I6" s="6" t="n">
        <v>13500</v>
      </c>
      <c r="J6" s="4" t="inlineStr">
        <is>
          <t>$637 - $200,000</t>
        </is>
      </c>
      <c r="K6" s="4" t="inlineStr"/>
      <c r="L6" s="4" t="n">
        <v>2020</v>
      </c>
      <c r="M6" s="4" t="inlineStr">
        <is>
          <t>TRUE</t>
        </is>
      </c>
      <c r="N6" s="4" t="inlineStr">
        <is>
          <t>https://www.lotusfoundation.com</t>
        </is>
      </c>
      <c r="O6" s="4" t="inlineStr">
        <is>
          <t>ALEXANDRIA HOUSE: $10,000 for TO SUPPORT THEIR MISSION OF PROVIDING SAFE AND SUP... (2020)</t>
        </is>
      </c>
      <c r="P6" s="4" t="inlineStr"/>
      <c r="Q6" s="4" t="inlineStr"/>
      <c r="R6" s="4" t="inlineStr">
        <is>
          <t>Needs Review</t>
        </is>
      </c>
      <c r="S6" s="4" t="inlineStr">
        <is>
          <t>No public application process. Small family foundation. Foster care/women's recovery focus.</t>
        </is>
      </c>
      <c r="T6" s="8" t="inlineStr">
        <is>
          <t>WEAK FIT: Focus is foster care and women in recovery, NOT senior housing. Small grants, no public application.</t>
        </is>
      </c>
      <c r="U6" t="inlineStr">
        <is>
          <t>Phase B - Match review found population mismatch</t>
        </is>
      </c>
    </row>
    <row r="7">
      <c r="B7" s="4" t="inlineStr">
        <is>
          <t>Banc of California Charitable Foundation</t>
        </is>
      </c>
      <c r="C7" s="4" t="inlineStr">
        <is>
          <t>812984187</t>
        </is>
      </c>
      <c r="D7" s="4" t="inlineStr">
        <is>
          <t>CA</t>
        </is>
      </c>
      <c r="E7" s="6" t="n">
        <v>1463612</v>
      </c>
      <c r="F7" s="4" t="n">
        <v>1</v>
      </c>
      <c r="G7" s="4" t="n">
        <v>1</v>
      </c>
      <c r="H7" s="4" t="n">
        <v>1</v>
      </c>
      <c r="I7" s="6" t="n">
        <v>6175</v>
      </c>
      <c r="J7" s="4" t="inlineStr">
        <is>
          <t>$500 - $50,000</t>
        </is>
      </c>
      <c r="K7" s="4" t="inlineStr"/>
      <c r="L7" s="4" t="n">
        <v>2022</v>
      </c>
      <c r="M7" s="4" t="inlineStr">
        <is>
          <t>TRUE</t>
        </is>
      </c>
      <c r="N7" s="4" t="inlineStr">
        <is>
          <t>NO WEBSITE YET</t>
        </is>
      </c>
      <c r="O7" s="4" t="inlineStr">
        <is>
          <t>AMERICAN FAMILY HOUSING: $2,500 for THE PURPOSE OF THIS GRANT IS TO SUPPORT AFFORDABLE... (2022)</t>
        </is>
      </c>
      <c r="P7" s="4" t="inlineStr"/>
      <c r="Q7" s="4" t="inlineStr"/>
      <c r="R7" s="4" t="inlineStr">
        <is>
          <t>Needs Review</t>
        </is>
      </c>
      <c r="S7" s="4" t="inlineStr">
        <is>
          <t>No formal portal. Contact through Banc of California community reinvestment. Affordable housing focus.</t>
        </is>
      </c>
      <c r="T7" s="8" t="inlineStr">
        <is>
          <t>MODERATE FIT: Affordable housing focus aligns but very small grants ($6K median). No formal portal.</t>
        </is>
      </c>
      <c r="U7" t="inlineStr">
        <is>
          <t>Phase B - Verified</t>
        </is>
      </c>
    </row>
    <row r="8">
      <c r="B8" s="4" t="inlineStr">
        <is>
          <t>THE COLLINS FOUNDATION</t>
        </is>
      </c>
      <c r="C8" s="4" t="inlineStr">
        <is>
          <t>936021893</t>
        </is>
      </c>
      <c r="D8" s="4" t="inlineStr">
        <is>
          <t>OR</t>
        </is>
      </c>
      <c r="E8" s="6" t="n">
        <v>227675139</v>
      </c>
      <c r="F8" s="4" t="n">
        <v>5</v>
      </c>
      <c r="G8" s="4" t="n">
        <v>0</v>
      </c>
      <c r="H8" s="4" t="n">
        <v>9</v>
      </c>
      <c r="I8" s="6" t="n">
        <v>25000</v>
      </c>
      <c r="J8" s="4" t="inlineStr">
        <is>
          <t>$75 - $600,000</t>
        </is>
      </c>
      <c r="K8" s="4" t="inlineStr"/>
      <c r="L8" s="4" t="n">
        <v>2023</v>
      </c>
      <c r="M8" s="4" t="inlineStr">
        <is>
          <t>TRUE</t>
        </is>
      </c>
      <c r="N8" s="4" t="inlineStr">
        <is>
          <t>WWW.COLLINSFOUNDATION.ORG</t>
        </is>
      </c>
      <c r="O8" s="4" t="inlineStr">
        <is>
          <t>BIENESTAR INC: $50,000 for SUPPORT OPERATIONS AND AFFORDABLE, SUPPORTIVE HOUS... (2020)</t>
        </is>
      </c>
      <c r="P8" s="4" t="inlineStr">
        <is>
          <t>BIENESTAR INC: $30,000 for SUPPORT OPERATIONS AND AFFORDABLE, SUPPORTIVE HOUS... (2021)</t>
        </is>
      </c>
      <c r="Q8" s="4" t="inlineStr">
        <is>
          <t>NORTHWEST HOUSING ALTERNATIVES INC: $50,000 for PROVIDE ONSITE EDUCATIONAL SUPPORTS FOR MIDDLE AND... (2021)</t>
        </is>
      </c>
      <c r="R8" s="4" t="inlineStr">
        <is>
          <t>Verified Open</t>
        </is>
      </c>
      <c r="S8" s="4" t="inlineStr">
        <is>
          <t>Oregon only. Partnership Alignment process. Next deadline July 15, 2026. ~$10M annually.</t>
        </is>
      </c>
      <c r="T8" s="7" t="inlineStr">
        <is>
          <t>STRONG FIT: Funded Bienestar multiple times for affordable/supportive housing. Oregon only. Deadline July 15, 2026.</t>
        </is>
      </c>
      <c r="U8" t="inlineStr">
        <is>
          <t>Phase B - Verified</t>
        </is>
      </c>
    </row>
    <row r="9">
      <c r="B9" s="4" t="inlineStr">
        <is>
          <t>KAREN E HENRY FOUNDATION FOR LONG-TERM</t>
        </is>
      </c>
      <c r="C9" s="4" t="inlineStr">
        <is>
          <t>742681314</t>
        </is>
      </c>
      <c r="D9" s="4" t="inlineStr">
        <is>
          <t>TX</t>
        </is>
      </c>
      <c r="E9" s="6" t="n">
        <v>479083</v>
      </c>
      <c r="F9" s="4" t="n">
        <v>5</v>
      </c>
      <c r="G9" s="4" t="n">
        <v>0</v>
      </c>
      <c r="H9" s="4" t="n">
        <v>5</v>
      </c>
      <c r="I9" s="6" t="n">
        <v>27373</v>
      </c>
      <c r="J9" s="4" t="inlineStr">
        <is>
          <t>$26,000 - $57,540</t>
        </is>
      </c>
      <c r="K9" s="4" t="inlineStr"/>
      <c r="L9" s="4" t="n">
        <v>2023</v>
      </c>
      <c r="M9" s="4" t="inlineStr">
        <is>
          <t>TRUE</t>
        </is>
      </c>
      <c r="N9" s="4" t="inlineStr">
        <is>
          <t>N/A</t>
        </is>
      </c>
      <c r="O9" s="4" t="inlineStr">
        <is>
          <t>ACCESSIBLE SPACE INC: $57,540 for PAYMENTS FOR ASSISTANCE IN BUILDING SUPPORTIVE HOU... (2023)</t>
        </is>
      </c>
      <c r="P9" s="4" t="inlineStr">
        <is>
          <t>ACCESSIBLE SPACE INC: $28,099 for PAYMENTS FOR ASSISTANCE IN BUILDING SUPPORTIVE HOU... (2022)</t>
        </is>
      </c>
      <c r="Q9" s="4" t="inlineStr">
        <is>
          <t>ACCESSIBLE SPACE INC: $27,373 for PAYMENTS FOR ASSISTANCE IN BUILDING SUPPORTIVE HOU... (2019)</t>
        </is>
      </c>
      <c r="R9" s="4" t="inlineStr">
        <is>
          <t>Needs Review</t>
        </is>
      </c>
      <c r="S9" s="4" t="inlineStr">
        <is>
          <t>Limited info. Texas focus likely. Disability housing focus. Check 990-PF for contact.</t>
        </is>
      </c>
      <c r="T9" s="8" t="inlineStr">
        <is>
          <t>MODERATE FIT: Disability housing focus overlaps with senior housing. Texas focus. Limited public info.</t>
        </is>
      </c>
      <c r="U9" t="inlineStr">
        <is>
          <t>Phase B - Needs more research</t>
        </is>
      </c>
    </row>
    <row r="10">
      <c r="B10" s="4" t="inlineStr">
        <is>
          <t>WSFS CARES FOUNDATION</t>
        </is>
      </c>
      <c r="C10" s="4" t="inlineStr">
        <is>
          <t>134229063</t>
        </is>
      </c>
      <c r="D10" s="4" t="inlineStr">
        <is>
          <t>DE</t>
        </is>
      </c>
      <c r="E10" s="6" t="n">
        <v>9350263</v>
      </c>
      <c r="F10" s="4" t="n">
        <v>5</v>
      </c>
      <c r="G10" s="4" t="n">
        <v>0</v>
      </c>
      <c r="H10" s="4" t="n">
        <v>5</v>
      </c>
      <c r="I10" s="6" t="n">
        <v>5000</v>
      </c>
      <c r="J10" s="4" t="inlineStr">
        <is>
          <t>$1,000 - $2,719,328</t>
        </is>
      </c>
      <c r="K10" s="4" t="inlineStr"/>
      <c r="L10" s="4" t="n">
        <v>2022</v>
      </c>
      <c r="M10" s="4" t="inlineStr">
        <is>
          <t>TRUE</t>
        </is>
      </c>
      <c r="N10" s="4" t="inlineStr">
        <is>
          <t>WWW.WSFSBANK.COM/ABOUT-US/COMMUNITY/WSFS-FOUNDATION</t>
        </is>
      </c>
      <c r="O10" s="4" t="inlineStr">
        <is>
          <t>PATHWAYS TO HOUSING PA: $5,000 for AFFORDABLE HOUSING... (2022)</t>
        </is>
      </c>
      <c r="P10" s="4" t="inlineStr">
        <is>
          <t>WOMENS COMMUNITY REVITALIZATION PROJECT: $2,500 for AFFORDABLE HOUSING... (2022)</t>
        </is>
      </c>
      <c r="Q10" s="4" t="inlineStr">
        <is>
          <t>WOMENS COMMUNITY REVITALIZATION PROJECT: $2,500 for AFFORDABLE HOUSING... (2021)</t>
        </is>
      </c>
      <c r="R10" s="4" t="inlineStr">
        <is>
          <t>Verified Open</t>
        </is>
      </c>
      <c r="S10" s="4" t="inlineStr">
        <is>
          <t>DE/PA only (WSFS Bank area). Online application rolling. Grants $100 to multi-year.</t>
        </is>
      </c>
      <c r="T10" s="7" t="inlineStr">
        <is>
          <t>STRONG FIT: Affordable housing explicit focus. DE/PA service area matches RHF properties. Online rolling applications.</t>
        </is>
      </c>
      <c r="U10" t="inlineStr">
        <is>
          <t>Phase B - Verified</t>
        </is>
      </c>
    </row>
    <row r="11">
      <c r="B11" s="4" t="inlineStr">
        <is>
          <t>MORTENSON FAMILY FOUNDATION</t>
        </is>
      </c>
      <c r="C11" s="4" t="inlineStr">
        <is>
          <t>411958621</t>
        </is>
      </c>
      <c r="D11" s="4" t="inlineStr">
        <is>
          <t>MN</t>
        </is>
      </c>
      <c r="E11" s="6" t="n">
        <v>136619117</v>
      </c>
      <c r="F11" s="4" t="n">
        <v>4</v>
      </c>
      <c r="G11" s="4" t="n">
        <v>0</v>
      </c>
      <c r="H11" s="4" t="n">
        <v>6</v>
      </c>
      <c r="I11" s="6" t="n">
        <v>15000</v>
      </c>
      <c r="J11" s="4" t="inlineStr">
        <is>
          <t>$1,000 - $1,000,000</t>
        </is>
      </c>
      <c r="K11" s="4" t="inlineStr"/>
      <c r="L11" s="4" t="n">
        <v>2023</v>
      </c>
      <c r="M11" s="4" t="inlineStr">
        <is>
          <t>TRUE</t>
        </is>
      </c>
      <c r="N11" s="4" t="inlineStr">
        <is>
          <t>MORTENSONFAMILY.ORG</t>
        </is>
      </c>
      <c r="O11" s="4" t="inlineStr">
        <is>
          <t>PROJECT FOR PRIDE IN LIVING INC: $20,000 for TO BUILD THE HOPE, ASSETS, AND SELF-RELIANCE OF IN... (2019)</t>
        </is>
      </c>
      <c r="P11" s="4" t="inlineStr">
        <is>
          <t>PROJECT FOR PRIDE IN LIVING INC: $25,000 for YOUTH AND PARENTING SERVICES IN SUPPORTIVE HOUSING... (2022)</t>
        </is>
      </c>
      <c r="Q11" s="4" t="inlineStr">
        <is>
          <t>PROJECT FOR PRIDE IN LIVING INC: $2,500 for YOUTH AND PARENTING SERVICES IN SUPPORTIVE HOUSING... (2023)</t>
        </is>
      </c>
      <c r="R11" s="4" t="inlineStr">
        <is>
          <t>Verified Open</t>
        </is>
      </c>
      <c r="S11" s="4" t="inlineStr">
        <is>
          <t>Minnesota focus. Online portal Foundant. 2026 deadline Feb 2-Mar 2. Children/families focus, not seniors.</t>
        </is>
      </c>
      <c r="T11" s="8" t="inlineStr">
        <is>
          <t>WEAK FIT: Notes explicitly state "Children/families focus, NOT seniors." Wrong population focus.</t>
        </is>
      </c>
      <c r="U11" t="inlineStr">
        <is>
          <t>Phase B - Match review found population mismatch</t>
        </is>
      </c>
    </row>
    <row r="12">
      <c r="B12" s="4" t="inlineStr">
        <is>
          <t>The McKnight Foundation</t>
        </is>
      </c>
      <c r="C12" s="4" t="inlineStr">
        <is>
          <t>410754835</t>
        </is>
      </c>
      <c r="D12" s="4" t="inlineStr">
        <is>
          <t>MN</t>
        </is>
      </c>
      <c r="E12" s="6" t="n">
        <v>2661443888</v>
      </c>
      <c r="F12" s="4" t="n">
        <v>4</v>
      </c>
      <c r="G12" s="4" t="n">
        <v>0</v>
      </c>
      <c r="H12" s="4" t="n">
        <v>20</v>
      </c>
      <c r="I12" s="6" t="n">
        <v>69000</v>
      </c>
      <c r="J12" s="4" t="inlineStr">
        <is>
          <t>$35 - $9,600,000</t>
        </is>
      </c>
      <c r="K12" s="4" t="inlineStr"/>
      <c r="L12" s="4" t="n">
        <v>2023</v>
      </c>
      <c r="M12" s="4" t="inlineStr">
        <is>
          <t>TRUE</t>
        </is>
      </c>
      <c r="N12" s="4" t="inlineStr">
        <is>
          <t>https://www.mcknight.org/</t>
        </is>
      </c>
      <c r="O12" s="4" t="inlineStr">
        <is>
          <t>PROJECT FOR PRIDE IN LIVING INC: $250,000 for For general operating support and a targeted inves... (2020)</t>
        </is>
      </c>
      <c r="P12" s="4" t="inlineStr">
        <is>
          <t>PROJECT FOR PRIDE IN LIVING INC: $125,000 for For general operating support and a targeted inves... (2019)</t>
        </is>
      </c>
      <c r="Q12" s="4" t="inlineStr">
        <is>
          <t>PROJECT FOR PRIDE IN LIVING INC: $125,000 for For general operating support and a targeted inves... (2019)</t>
        </is>
      </c>
      <c r="R12" s="4" t="inlineStr">
        <is>
          <t>Verified Open</t>
        </is>
      </c>
      <c r="S12" s="4" t="inlineStr">
        <is>
          <t>Minnesota. Rolling, one-step. Housing is core focus. GOOD SENIOR FIT. Pre-call: 612-333-4220. $145M in 2024.</t>
        </is>
      </c>
      <c r="T12" s="7" t="inlineStr">
        <is>
          <t>EXCELLENT FIT: Housing is core focus. Notes: "GOOD SENIOR FIT". Minnesota. $145M in 2024. Rolling one-step process.</t>
        </is>
      </c>
      <c r="U12" t="inlineStr">
        <is>
          <t>Phase B - Verified</t>
        </is>
      </c>
    </row>
    <row r="13">
      <c r="B13" s="4" t="inlineStr">
        <is>
          <t>John &amp; Susan Dewan Foundation</t>
        </is>
      </c>
      <c r="C13" s="4" t="inlineStr">
        <is>
          <t>364339823</t>
        </is>
      </c>
      <c r="D13" s="4" t="inlineStr">
        <is>
          <t>IL</t>
        </is>
      </c>
      <c r="E13" s="6" t="n">
        <v>869035</v>
      </c>
      <c r="F13" s="4" t="n">
        <v>3</v>
      </c>
      <c r="G13" s="4" t="n">
        <v>0</v>
      </c>
      <c r="H13" s="4" t="n">
        <v>5</v>
      </c>
      <c r="I13" s="6" t="n">
        <v>3000</v>
      </c>
      <c r="J13" s="4" t="inlineStr">
        <is>
          <t>$500 - $199,805</t>
        </is>
      </c>
      <c r="K13" s="4" t="inlineStr"/>
      <c r="L13" s="4" t="n">
        <v>2023</v>
      </c>
      <c r="M13" s="4" t="inlineStr">
        <is>
          <t>TRUE</t>
        </is>
      </c>
      <c r="N13" s="4" t="inlineStr">
        <is>
          <t>DEWANFOUNDATION.ORG</t>
        </is>
      </c>
      <c r="O13" s="4" t="inlineStr">
        <is>
          <t>HOUSING OPPORTUNITIES FOR WOMEN INC: $2,000 for HOUSING AND SUPPORT SERVICES FOR HOMELESS WOMEN AN... (2023)</t>
        </is>
      </c>
      <c r="P13" s="4" t="inlineStr">
        <is>
          <t>HOUSING OPPORTUNITIES FOR WOMEN INC: $2,500 for HOUSING AND SUPPORT SERVICES FOR HOMELESS WOMEN AN... (2022)</t>
        </is>
      </c>
      <c r="Q13" s="4" t="inlineStr">
        <is>
          <t>HOUSING OPPORTUNITIES FOR WOMEN INC: $2,500 for HOUSING AND SUPPORT SERVICES FOR HOMELESS WOMEN AN... (2021)</t>
        </is>
      </c>
      <c r="R13" s="4" t="inlineStr">
        <is>
          <t>Verified Open</t>
        </is>
      </c>
      <c r="S13" s="4" t="inlineStr">
        <is>
          <t>Chicago area. LOI preferred anytime. Small grants $2,500 or less. Poverty focus.</t>
        </is>
      </c>
      <c r="T13" s="8" t="inlineStr">
        <is>
          <t>WEAK FIT: Focus is women/families in poverty, not seniors. Very small grants ($2,500 max). Chicago only.</t>
        </is>
      </c>
      <c r="U13" t="inlineStr">
        <is>
          <t>Phase B - Match review found population mismatch</t>
        </is>
      </c>
    </row>
    <row r="14">
      <c r="B14" s="4" t="inlineStr">
        <is>
          <t>Joseph B Whitehead Foundation</t>
        </is>
      </c>
      <c r="C14" s="4" t="inlineStr">
        <is>
          <t>586001954</t>
        </is>
      </c>
      <c r="D14" s="4" t="inlineStr">
        <is>
          <t>GA</t>
        </is>
      </c>
      <c r="E14" s="6" t="n">
        <v>192205042</v>
      </c>
      <c r="F14" s="4" t="n">
        <v>3</v>
      </c>
      <c r="G14" s="4" t="n">
        <v>0</v>
      </c>
      <c r="H14" s="4" t="n">
        <v>3</v>
      </c>
      <c r="I14" s="6" t="n">
        <v>500000</v>
      </c>
      <c r="J14" s="4" t="inlineStr">
        <is>
          <t>$25,000 - $25,000,068</t>
        </is>
      </c>
      <c r="K14" s="4" t="inlineStr"/>
      <c r="L14" s="4" t="n">
        <v>2022</v>
      </c>
      <c r="M14" s="4" t="inlineStr">
        <is>
          <t>TRUE</t>
        </is>
      </c>
      <c r="N14" s="4" t="inlineStr">
        <is>
          <t>www.jbwhitehead.org</t>
        </is>
      </c>
      <c r="O14" s="4" t="inlineStr">
        <is>
          <t>ATLANTA NEIGHBORHOOD DEVELOPMENT PARTNER: $2,000,000 for Support for plan to accelerate the production of a... (2022)</t>
        </is>
      </c>
      <c r="P14" s="4" t="inlineStr">
        <is>
          <t>ATLANTA NEIGHBORHOOD DEVELOPMENT PARTNER: $2,000,000 for Support for plan to accelerate the production of a... (2021)</t>
        </is>
      </c>
      <c r="Q14" s="4" t="inlineStr">
        <is>
          <t>ATLANTA NEIGHBORHOOD DEVELOPMENT PARTNER: $1,000,000 for Support for investment plan to accelerate the prod... (2020)</t>
        </is>
      </c>
      <c r="R14" s="4" t="inlineStr">
        <is>
          <t>Verified Open</t>
        </is>
      </c>
      <c r="S14" s="4" t="inlineStr">
        <is>
          <t>Metro Atlanta only (13 counties). Online Blackbaud portal. Needs $500K+ budget. Deadlines Feb 1, Aug 15.</t>
        </is>
      </c>
      <c r="T14" s="7" t="inlineStr">
        <is>
          <t>STRONG FIT: Made $2M grants to Atlanta Neighborhood Development for affordable housing. Metro Atlanta. Feb 1 &amp; Aug 15 deadlines.</t>
        </is>
      </c>
      <c r="U14" t="inlineStr">
        <is>
          <t>Phase B - Verified</t>
        </is>
      </c>
    </row>
    <row r="15">
      <c r="B15" s="4" t="inlineStr">
        <is>
          <t>OTTO BREMER TRUST</t>
        </is>
      </c>
      <c r="C15" s="4" t="inlineStr">
        <is>
          <t>416019050</t>
        </is>
      </c>
      <c r="D15" s="4" t="inlineStr">
        <is>
          <t>MN</t>
        </is>
      </c>
      <c r="E15" s="6" t="n">
        <v>1419998555</v>
      </c>
      <c r="F15" s="4" t="n">
        <v>2</v>
      </c>
      <c r="G15" s="4" t="n">
        <v>0</v>
      </c>
      <c r="H15" s="4" t="n">
        <v>7</v>
      </c>
      <c r="I15" s="6" t="n">
        <v>50000</v>
      </c>
      <c r="J15" s="4" t="inlineStr">
        <is>
          <t>$1,000 - $3,640,000</t>
        </is>
      </c>
      <c r="K15" s="4" t="inlineStr"/>
      <c r="L15" s="4" t="n">
        <v>2024</v>
      </c>
      <c r="M15" s="4" t="inlineStr">
        <is>
          <t>TRUE</t>
        </is>
      </c>
      <c r="N15" s="4" t="inlineStr">
        <is>
          <t>WWW.OTTOBREMER.ORG</t>
        </is>
      </c>
      <c r="O15" s="4" t="inlineStr">
        <is>
          <t>PROJECT FOR PRIDE IN LIVING INC: $200,000 for TO PROVIDE LOW-INCOME PEOPLE WITH SAFE, QUALITY, A... (2019)</t>
        </is>
      </c>
      <c r="P15" s="4" t="inlineStr">
        <is>
          <t>ACCESSIBLE SPACE INC: $25,000 for TO MAINTAIN ACCESSIBLE, AFFORDABLE HOUSING AT NORT... (2019)</t>
        </is>
      </c>
      <c r="Q15" s="4" t="inlineStr"/>
      <c r="R15" s="4" t="inlineStr">
        <is>
          <t>Invite Only</t>
        </is>
      </c>
      <c r="S15" s="4" t="inlineStr">
        <is>
          <t>MN/MT/ND/WI only. Currently NO unsolicited apps. EXTENSIVE senior funding history. 2025 intro form expected.</t>
        </is>
      </c>
      <c r="T15" s="7" t="inlineStr">
        <is>
          <t>EXCELLENT FIT: Funded Accessible Space $25K for housing for "very low-income older adults" - perfect match. BUT INVITE ONLY currently.</t>
        </is>
      </c>
      <c r="U15" t="inlineStr">
        <is>
          <t>Phase B - Verified invite only</t>
        </is>
      </c>
    </row>
    <row r="16">
      <c r="B16" s="4" t="inlineStr">
        <is>
          <t>FR BIGELOW FOUNDATION</t>
        </is>
      </c>
      <c r="C16" s="4" t="inlineStr">
        <is>
          <t>510232651</t>
        </is>
      </c>
      <c r="D16" s="4" t="inlineStr">
        <is>
          <t>MN</t>
        </is>
      </c>
      <c r="E16" s="6" t="n">
        <v>176908736</v>
      </c>
      <c r="F16" s="4" t="n">
        <v>2</v>
      </c>
      <c r="G16" s="4" t="n">
        <v>0</v>
      </c>
      <c r="H16" s="4" t="n">
        <v>6</v>
      </c>
      <c r="I16" s="6" t="n">
        <v>30000</v>
      </c>
      <c r="J16" s="4" t="inlineStr">
        <is>
          <t>$500 - $250,000</t>
        </is>
      </c>
      <c r="K16" s="4" t="inlineStr"/>
      <c r="L16" s="4" t="n">
        <v>2023</v>
      </c>
      <c r="M16" s="4" t="inlineStr">
        <is>
          <t>TRUE</t>
        </is>
      </c>
      <c r="N16" s="4" t="inlineStr">
        <is>
          <t>WWW.FRBIGELOW.ORG</t>
        </is>
      </c>
      <c r="O16" s="4" t="inlineStr">
        <is>
          <t>PROJECT FOR PRIDE IN LIVING INC: $35,000 for PPL FAMILY SUPPORTIVE HOUSING PROGRAM... (2022)</t>
        </is>
      </c>
      <c r="P16" s="4" t="inlineStr">
        <is>
          <t>PROJECT FOR PRIDE IN LIVING INC: $30,000 for PPL'S FAMILY SUPPORTIVE HOUSING... (2023)</t>
        </is>
      </c>
      <c r="Q16" s="4" t="inlineStr"/>
      <c r="R16" s="4" t="inlineStr">
        <is>
          <t>Verified Open</t>
        </is>
      </c>
      <c r="S16" s="4" t="inlineStr">
        <is>
          <t>MN East Metro only (Dakota/Ramsey/Washington). Portal via Saint Paul Foundation. Housing focus. Up to $100K/yr.</t>
        </is>
      </c>
      <c r="T16" s="7" t="inlineStr">
        <is>
          <t>STRONG FIT: Housing is stated focus. Up to $100K/year. MN East Metro only (specific counties). Portal via Saint Paul Foundation.</t>
        </is>
      </c>
      <c r="U16" t="inlineStr">
        <is>
          <t>Phase B - Verified</t>
        </is>
      </c>
    </row>
    <row r="17">
      <c r="B17" s="4" t="inlineStr">
        <is>
          <t>LIBERTY MUTUAL FOUNDATION INC</t>
        </is>
      </c>
      <c r="C17" s="4" t="inlineStr">
        <is>
          <t>141893520</t>
        </is>
      </c>
      <c r="D17" s="4" t="inlineStr">
        <is>
          <t>MA</t>
        </is>
      </c>
      <c r="E17" s="6" t="n">
        <v>46556209</v>
      </c>
      <c r="F17" s="4" t="n">
        <v>2</v>
      </c>
      <c r="G17" s="4" t="n">
        <v>0</v>
      </c>
      <c r="H17" s="4" t="n">
        <v>25</v>
      </c>
      <c r="I17" s="6" t="n">
        <v>20000</v>
      </c>
      <c r="J17" s="4" t="inlineStr">
        <is>
          <t>$500 - $10,781,520</t>
        </is>
      </c>
      <c r="K17" s="4" t="inlineStr"/>
      <c r="L17" s="4" t="n">
        <v>2023</v>
      </c>
      <c r="M17" s="4" t="inlineStr">
        <is>
          <t>TRUE</t>
        </is>
      </c>
      <c r="N17" s="4" t="inlineStr">
        <is>
          <t>WWW.LIBERTYMUTUALFOUNDATION.ORG</t>
        </is>
      </c>
      <c r="O17" s="4" t="inlineStr">
        <is>
          <t>JUST A START INC: $15,000 for RENEWAL ENERGY STUDY FOR AFFORDABLE HOUSING... (2023)</t>
        </is>
      </c>
      <c r="P17" s="4" t="inlineStr">
        <is>
          <t>JUST A START INC: $15,000 for RENEWAL ENERGY STUDY FOR AFFORDABLE HOUSING... (2023)</t>
        </is>
      </c>
      <c r="Q17" s="4" t="inlineStr"/>
      <c r="R17" s="4" t="inlineStr">
        <is>
          <t>Verified Open</t>
        </is>
      </c>
      <c r="S17" s="4" t="inlineStr">
        <is>
          <t>Boston/Seattle/Dallas areas. RFP-based via CyberGrants. Housing stability program. Response 12 weeks.</t>
        </is>
      </c>
      <c r="T17" s="8" t="inlineStr">
        <is>
          <t>MODERATE FIT: Housing stability program but grants focus on sustainability/energy aspects. Boston/Seattle/Dallas only.</t>
        </is>
      </c>
      <c r="U17" t="inlineStr">
        <is>
          <t>Phase B - Verified</t>
        </is>
      </c>
    </row>
  </sheetData>
  <dataValidations count="1">
    <dataValidation sqref="R3:R17" showDropDown="0" showInputMessage="0" showErrorMessage="0" allowBlank="1" type="list">
      <formula1>"Verified Open,Invite Only,Needs Review"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U17"/>
  <sheetViews>
    <sheetView zoomScale="14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2" max="2"/>
    <col width="12" customWidth="1" min="3" max="3"/>
    <col width="6" customWidth="1" min="4" max="4"/>
    <col width="15" customWidth="1" min="5" max="5"/>
    <col width="12" customWidth="1" min="6" max="6"/>
    <col width="12" customWidth="1" min="7" max="7"/>
    <col width="15" customWidth="1" min="8" max="8"/>
    <col width="15" customWidth="1" min="9" max="9"/>
    <col width="18" customWidth="1" min="10" max="10"/>
    <col width="15" customWidth="1" min="11" max="11"/>
    <col width="15" customWidth="1" min="12" max="12"/>
    <col width="8" customWidth="1" min="13" max="13"/>
    <col width="40" customWidth="1" min="14" max="14"/>
    <col width="45" customWidth="1" min="15" max="15"/>
    <col width="45" customWidth="1" min="16" max="16"/>
    <col width="45" customWidth="1" min="17" max="17"/>
    <col width="18" customWidth="1" min="18" max="18"/>
    <col width="30" customWidth="1" min="19" max="19"/>
    <col width="80" customWidth="1" min="20" max="20"/>
    <col width="45" customWidth="1" min="21" max="21"/>
  </cols>
  <sheetData>
    <row r="2">
      <c r="B2" s="3" t="inlineStr">
        <is>
          <t>Foundation Name</t>
        </is>
      </c>
      <c r="C2" s="3" t="inlineStr">
        <is>
          <t>EIN</t>
        </is>
      </c>
      <c r="D2" s="3" t="inlineStr">
        <is>
          <t>State</t>
        </is>
      </c>
      <c r="E2" s="3" t="inlineStr">
        <is>
          <t>Assets</t>
        </is>
      </c>
      <c r="F2" s="3" t="inlineStr">
        <is>
          <t>Target Grants</t>
        </is>
      </c>
      <c r="G2" s="3" t="inlineStr">
        <is>
          <t>Gold Standard</t>
        </is>
      </c>
      <c r="H2" s="3" t="inlineStr">
        <is>
          <t>Total to Siblings</t>
        </is>
      </c>
      <c r="I2" s="3" t="inlineStr">
        <is>
          <t>Median Grant</t>
        </is>
      </c>
      <c r="J2" s="3" t="inlineStr">
        <is>
          <t>Grant Range</t>
        </is>
      </c>
      <c r="K2" s="3" t="inlineStr">
        <is>
          <t>States Funded</t>
        </is>
      </c>
      <c r="L2" s="3" t="inlineStr">
        <is>
          <t>Most Recent Year</t>
        </is>
      </c>
      <c r="M2" s="3" t="inlineStr">
        <is>
          <t>IRS Open</t>
        </is>
      </c>
      <c r="N2" s="3" t="inlineStr">
        <is>
          <t>Website</t>
        </is>
      </c>
      <c r="O2" s="3" t="inlineStr">
        <is>
          <t>Sample Grant 1</t>
        </is>
      </c>
      <c r="P2" s="3" t="inlineStr">
        <is>
          <t>Sample Grant 2</t>
        </is>
      </c>
      <c r="Q2" s="3" t="inlineStr">
        <is>
          <t>Sample Grant 3</t>
        </is>
      </c>
      <c r="R2" s="3" t="inlineStr">
        <is>
          <t>Verification Status</t>
        </is>
      </c>
      <c r="S2" s="3" t="inlineStr">
        <is>
          <t>Verification Notes</t>
        </is>
      </c>
      <c r="T2" s="1" t="inlineStr">
        <is>
          <t>Fit Assessment</t>
        </is>
      </c>
      <c r="U2" s="1" t="inlineStr">
        <is>
          <t>Discovery Stage</t>
        </is>
      </c>
    </row>
    <row r="3">
      <c r="B3" s="4" t="inlineStr">
        <is>
          <t>CHRISTINE &amp; JALMER BERG FOUNDATION</t>
        </is>
      </c>
      <c r="C3" s="4" t="inlineStr">
        <is>
          <t>943148730</t>
        </is>
      </c>
      <c r="D3" s="4" t="inlineStr">
        <is>
          <t>CA</t>
        </is>
      </c>
      <c r="E3" s="6" t="n">
        <v>11951265</v>
      </c>
      <c r="F3" s="4" t="n">
        <v>1</v>
      </c>
      <c r="G3" s="4" t="n">
        <v>1</v>
      </c>
      <c r="H3" s="4" t="n">
        <v>1</v>
      </c>
      <c r="I3" s="6" t="n">
        <v>13900</v>
      </c>
      <c r="J3" s="4" t="inlineStr">
        <is>
          <t>$1,000 - $149,450</t>
        </is>
      </c>
      <c r="K3" s="4" t="inlineStr"/>
      <c r="L3" s="4" t="n">
        <v>2022</v>
      </c>
      <c r="M3" s="4" t="inlineStr">
        <is>
          <t>TRUE</t>
        </is>
      </c>
      <c r="N3" s="4" t="inlineStr">
        <is>
          <t>N/A</t>
        </is>
      </c>
      <c r="O3" s="4" t="inlineStr">
        <is>
          <t>FORTUNA SENIOR SERVICES INC: $100,000 for COMPLETION OF NEW SENIOR CENTER BUILDING... (2022)</t>
        </is>
      </c>
      <c r="P3" s="4" t="inlineStr"/>
      <c r="Q3" s="4" t="inlineStr"/>
      <c r="R3" s="4" t="inlineStr">
        <is>
          <t>Verified Open</t>
        </is>
      </c>
      <c r="S3" s="4" t="inlineStr">
        <is>
          <t>Humboldt County CA primarily. Contact for application. Avg grant $23,761.</t>
        </is>
      </c>
      <c r="T3" s="8" t="inlineStr">
        <is>
          <t>UNCERTAIN FIT: Funded senior center in Humboldt County CA. BUT Humboldt is 700 miles from Riverside County. Northern CA focus may exclude SNS.</t>
        </is>
      </c>
      <c r="U3" t="inlineStr">
        <is>
          <t>Phase B - Geographic concern identified</t>
        </is>
      </c>
    </row>
    <row r="4">
      <c r="B4" s="4" t="inlineStr">
        <is>
          <t>OLESON FOUNDATION</t>
        </is>
      </c>
      <c r="C4" s="4" t="inlineStr">
        <is>
          <t>386083080</t>
        </is>
      </c>
      <c r="D4" s="4" t="inlineStr">
        <is>
          <t>MI</t>
        </is>
      </c>
      <c r="E4" s="6" t="n">
        <v>23094804</v>
      </c>
      <c r="F4" s="4" t="n">
        <v>5</v>
      </c>
      <c r="G4" s="4" t="n">
        <v>0</v>
      </c>
      <c r="H4" s="4" t="n">
        <v>6</v>
      </c>
      <c r="I4" s="6" t="n">
        <v>10000</v>
      </c>
      <c r="J4" s="4" t="inlineStr">
        <is>
          <t>$200 - $200,000</t>
        </is>
      </c>
      <c r="K4" s="4" t="inlineStr"/>
      <c r="L4" s="4" t="n">
        <v>2024</v>
      </c>
      <c r="M4" s="4" t="inlineStr">
        <is>
          <t>TRUE</t>
        </is>
      </c>
      <c r="N4" s="4" t="inlineStr">
        <is>
          <t>OLESONFOUNDATION.ORG</t>
        </is>
      </c>
      <c r="O4" s="4" t="inlineStr">
        <is>
          <t>FRIENDSHIP CENTERS OF EMMET COUNTY: $6,000 for MEALS ON WHEELS PROGRAM... (2021)</t>
        </is>
      </c>
      <c r="P4" s="4" t="inlineStr">
        <is>
          <t>FRIENDSHIP CENTERS OF EMMET COUNTY: $1,000 for MEALS ON WHEELS PROGRAM... (2022)</t>
        </is>
      </c>
      <c r="Q4" s="4" t="inlineStr">
        <is>
          <t>FRIENDSHIP CENTERS OF EMMET COUNTY: $5,000 for GRANT FOR NEW MEALS ON WHEELS VEHICLE... (2018)</t>
        </is>
      </c>
      <c r="R4" s="4" t="inlineStr">
        <is>
          <t>Verified Open</t>
        </is>
      </c>
      <c r="S4" s="4" t="inlineStr">
        <is>
          <t>NW Lower Michigan ONLY. Not CA eligible. April 1 deadline.</t>
        </is>
      </c>
      <c r="T4" s="9" t="inlineStr">
        <is>
          <t>GEOGRAPHIC DISQUALIFICATION: Michigan only. Cannot fund California. Strong senior services focus but WRONG STATE.</t>
        </is>
      </c>
      <c r="U4" t="inlineStr">
        <is>
          <t>Phase A FAILURE - Should have been filtered by geo_eligible</t>
        </is>
      </c>
    </row>
    <row r="5">
      <c r="B5" s="4" t="inlineStr">
        <is>
          <t>Anschutz Family Foundation</t>
        </is>
      </c>
      <c r="C5" s="4" t="inlineStr">
        <is>
          <t>742132676</t>
        </is>
      </c>
      <c r="D5" s="4" t="inlineStr">
        <is>
          <t>CO</t>
        </is>
      </c>
      <c r="E5" s="6" t="n">
        <v>45765575</v>
      </c>
      <c r="F5" s="4" t="n">
        <v>4</v>
      </c>
      <c r="G5" s="4" t="n">
        <v>0</v>
      </c>
      <c r="H5" s="4" t="n">
        <v>6</v>
      </c>
      <c r="I5" s="6" t="n">
        <v>7500</v>
      </c>
      <c r="J5" s="4" t="inlineStr">
        <is>
          <t>$500 - $30,000</t>
        </is>
      </c>
      <c r="K5" s="4" t="inlineStr"/>
      <c r="L5" s="4" t="n">
        <v>2022</v>
      </c>
      <c r="M5" s="4" t="inlineStr">
        <is>
          <t>TRUE</t>
        </is>
      </c>
      <c r="N5" s="4" t="inlineStr">
        <is>
          <t>www.anschutzfamilyfoundation.org</t>
        </is>
      </c>
      <c r="O5" s="4" t="inlineStr">
        <is>
          <t>CENTER FOR PEOPLE WITH DISABILITIES: $8,000 for General operating support for programs and service... (2021)</t>
        </is>
      </c>
      <c r="P5" s="4" t="inlineStr">
        <is>
          <t>CENTER FOR PEOPLE WITH DISABILITIES: $7,500 for General operating support for programs and service... (2022)</t>
        </is>
      </c>
      <c r="Q5" s="4" t="inlineStr">
        <is>
          <t>CEREBRAL PALSY RESEARCH FOUNDATION OF KA: $5,000 for General operating support to help people with disa... (2021)</t>
        </is>
      </c>
      <c r="R5" s="4" t="inlineStr">
        <is>
          <t>Verified Open</t>
        </is>
      </c>
      <c r="S5" s="4" t="inlineStr">
        <is>
          <t>Colorado ONLY. Not CA eligible. Jan 15 &amp; Jul 1 deadlines. Seniors are focus area.</t>
        </is>
      </c>
      <c r="T5" s="9" t="inlineStr">
        <is>
          <t>GEOGRAPHIC DISQUALIFICATION: Colorado only. Cannot fund California. Has senior focus but WRONG STATE.</t>
        </is>
      </c>
      <c r="U5" t="inlineStr">
        <is>
          <t>Phase A FAILURE - Should have been filtered by geo_eligible</t>
        </is>
      </c>
    </row>
    <row r="6">
      <c r="B6" s="4" t="inlineStr">
        <is>
          <t>MCKEEN FUND</t>
        </is>
      </c>
      <c r="C6" s="4" t="inlineStr">
        <is>
          <t>137002920</t>
        </is>
      </c>
      <c r="D6" s="4" t="inlineStr">
        <is>
          <t>FL</t>
        </is>
      </c>
      <c r="E6" s="6" t="n">
        <v>8778261</v>
      </c>
      <c r="F6" s="4" t="n">
        <v>4</v>
      </c>
      <c r="G6" s="4" t="n">
        <v>0</v>
      </c>
      <c r="H6" s="4" t="n">
        <v>9</v>
      </c>
      <c r="I6" s="6" t="n">
        <v>5000</v>
      </c>
      <c r="J6" s="4" t="inlineStr">
        <is>
          <t>$900 - $60,000</t>
        </is>
      </c>
      <c r="K6" s="4" t="inlineStr"/>
      <c r="L6" s="4" t="n">
        <v>2023</v>
      </c>
      <c r="M6" s="4" t="inlineStr">
        <is>
          <t>TRUE</t>
        </is>
      </c>
      <c r="N6" s="4" t="inlineStr">
        <is>
          <t>WWW.MCKEENFUND.ORG</t>
        </is>
      </c>
      <c r="O6" s="4" t="inlineStr">
        <is>
          <t>THE VISCARDI CENTER INC: $20,000 for DISABILITY SERVICES... (2020)</t>
        </is>
      </c>
      <c r="P6" s="4" t="inlineStr">
        <is>
          <t>THE VISCARDI CENTER INC: $10,000 for DISABILITY SERVICES... (2020)</t>
        </is>
      </c>
      <c r="Q6" s="4" t="inlineStr">
        <is>
          <t>THE VISCARDI CENTER INC: $10,000 for DISABILITY SERVICES... (2020)</t>
        </is>
      </c>
      <c r="R6" s="4" t="inlineStr">
        <is>
          <t>Verified Open</t>
        </is>
      </c>
      <c r="S6" s="4" t="inlineStr">
        <is>
          <t>FL/MA/NY only. Not CA eligible. Paper application. Seniors are focus.</t>
        </is>
      </c>
      <c r="T6" s="9" t="inlineStr">
        <is>
          <t>GEOGRAPHIC DISQUALIFICATION: FL/MA/NY only. Cannot fund California. Has senior focus but WRONG STATE.</t>
        </is>
      </c>
      <c r="U6" t="inlineStr">
        <is>
          <t>Phase A FAILURE - Should have been filtered by geo_eligible</t>
        </is>
      </c>
    </row>
    <row r="7">
      <c r="B7" s="4" t="inlineStr">
        <is>
          <t>WHITE FAMILY FOUNDATION</t>
        </is>
      </c>
      <c r="C7" s="4" t="inlineStr">
        <is>
          <t>020794045</t>
        </is>
      </c>
      <c r="D7" s="4" t="inlineStr">
        <is>
          <t>FL</t>
        </is>
      </c>
      <c r="E7" s="6" t="n">
        <v>4799278</v>
      </c>
      <c r="F7" s="4" t="n">
        <v>4</v>
      </c>
      <c r="G7" s="4" t="n">
        <v>0</v>
      </c>
      <c r="H7" s="4" t="n">
        <v>4</v>
      </c>
      <c r="I7" s="6" t="n">
        <v>10000</v>
      </c>
      <c r="J7" s="4" t="inlineStr">
        <is>
          <t>$1,000 - $500,000</t>
        </is>
      </c>
      <c r="K7" s="4" t="inlineStr"/>
      <c r="L7" s="4" t="n">
        <v>2022</v>
      </c>
      <c r="M7" s="4" t="inlineStr">
        <is>
          <t>TRUE</t>
        </is>
      </c>
      <c r="N7" s="4" t="inlineStr">
        <is>
          <t>WWW.THEWHITEFAMILYFOUNDATION.ORG</t>
        </is>
      </c>
      <c r="O7" s="4" t="inlineStr">
        <is>
          <t>CREATIVE CLAY INC: $9,500 for SERVICES FOR DISABLED PERSONS... (2019)</t>
        </is>
      </c>
      <c r="P7" s="4" t="inlineStr">
        <is>
          <t>CREATIVE CLAY INC: $5,000 for SERVICES FOR DISABLED PERSONS... (2022)</t>
        </is>
      </c>
      <c r="Q7" s="4" t="inlineStr">
        <is>
          <t>CREATIVE CLAY INC: $5,000 for SERVICES FOR DISABLED PERSONS... (2021)</t>
        </is>
      </c>
      <c r="R7" s="4" t="inlineStr">
        <is>
          <t>Verified Open</t>
        </is>
      </c>
      <c r="S7" s="4" t="inlineStr">
        <is>
          <t>Florida only. Not CA eligible. LOI Jan 1-Mar 31.</t>
        </is>
      </c>
      <c r="T7" s="9" t="inlineStr">
        <is>
          <t>GEOGRAPHIC DISQUALIFICATION: Florida only. Cannot fund California.</t>
        </is>
      </c>
      <c r="U7" t="inlineStr">
        <is>
          <t>Phase A FAILURE - Should have been filtered by geo_eligible</t>
        </is>
      </c>
    </row>
    <row r="8">
      <c r="B8" s="4" t="inlineStr">
        <is>
          <t>DIRECT SUPPLY FOUNDATION INC</t>
        </is>
      </c>
      <c r="C8" s="4" t="inlineStr">
        <is>
          <t>454303631</t>
        </is>
      </c>
      <c r="D8" s="4" t="inlineStr">
        <is>
          <t>WI</t>
        </is>
      </c>
      <c r="E8" s="6" t="n">
        <v>1544055</v>
      </c>
      <c r="F8" s="4" t="n">
        <v>3</v>
      </c>
      <c r="G8" s="4" t="n">
        <v>0</v>
      </c>
      <c r="H8" s="4" t="n">
        <v>3</v>
      </c>
      <c r="I8" s="6" t="n">
        <v>2000</v>
      </c>
      <c r="J8" s="4" t="inlineStr">
        <is>
          <t>$30 - $39,000</t>
        </is>
      </c>
      <c r="K8" s="4" t="inlineStr"/>
      <c r="L8" s="4" t="n">
        <v>2020</v>
      </c>
      <c r="M8" s="4" t="inlineStr">
        <is>
          <t>TRUE</t>
        </is>
      </c>
      <c r="N8" s="4" t="inlineStr">
        <is>
          <t>DIRECTSUPPLY.COM/ABOUT/COMMUNITY-INVOLVEMENT/</t>
        </is>
      </c>
      <c r="O8" s="4" t="inlineStr">
        <is>
          <t>EISENHOWER CENTER INC: $6,000 for SUPPORT FOR INDIVIDUALS IN THE COMMUNITY WITH DISA... (2020)</t>
        </is>
      </c>
      <c r="P8" s="4" t="inlineStr">
        <is>
          <t>EISENHOWER CENTER INC: $3,553 for SUPPORT FOR INDIVIDUALS IN THE COMMUNITY WITH DISA... (2019)</t>
        </is>
      </c>
      <c r="Q8" s="4" t="inlineStr">
        <is>
          <t>EISENHOWER CENTER INC: $3,500 for SUPPORT FOR INDIVIDUALS IN THE COMMUNITY WITH DISA... (2018)</t>
        </is>
      </c>
      <c r="R8" s="4" t="inlineStr">
        <is>
          <t>Needs Review</t>
        </is>
      </c>
      <c r="S8" s="4" t="inlineStr">
        <is>
          <t>No public application. Corporate foundation. Senior living equipment company.</t>
        </is>
      </c>
      <c r="T8" s="9" t="inlineStr">
        <is>
          <t>NO PUBLIC APPLICATION: Corporate foundation with no grantmaking process. Senior living company but not accepting applications.</t>
        </is>
      </c>
      <c r="U8" t="inlineStr">
        <is>
          <t>Phase B - Verified no application process</t>
        </is>
      </c>
    </row>
    <row r="9">
      <c r="B9" s="4" t="inlineStr">
        <is>
          <t>W J BRACE CHARITABLE TRUST</t>
        </is>
      </c>
      <c r="C9" s="4" t="inlineStr">
        <is>
          <t>597244050</t>
        </is>
      </c>
      <c r="D9" s="4" t="inlineStr">
        <is>
          <t>TX</t>
        </is>
      </c>
      <c r="E9" s="6" t="n">
        <v>7707533</v>
      </c>
      <c r="F9" s="4" t="n">
        <v>3</v>
      </c>
      <c r="G9" s="4" t="n">
        <v>0</v>
      </c>
      <c r="H9" s="4" t="n">
        <v>6</v>
      </c>
      <c r="I9" s="6" t="n">
        <v>15000</v>
      </c>
      <c r="J9" s="4" t="inlineStr">
        <is>
          <t>$2,500 - $100,000</t>
        </is>
      </c>
      <c r="K9" s="4" t="inlineStr"/>
      <c r="L9" s="4" t="n">
        <v>2024</v>
      </c>
      <c r="M9" s="4" t="inlineStr">
        <is>
          <t>TRUE</t>
        </is>
      </c>
      <c r="N9" s="4" t="inlineStr">
        <is>
          <t>NONE</t>
        </is>
      </c>
      <c r="O9" s="4" t="inlineStr">
        <is>
          <t>NORTHLAND SHEPHERDS CENTER: $12,000 for TRANSPORTATION FOR OLDER... (2020)</t>
        </is>
      </c>
      <c r="P9" s="4" t="inlineStr">
        <is>
          <t>NORTHLAND SHEPHERDS CENTER: $12,000 for TRANSPORTATION FOR OLDER... (2021)</t>
        </is>
      </c>
      <c r="Q9" s="4" t="inlineStr">
        <is>
          <t>NORTHLAND SHEPHERDS CENTER: $12,000 for TRANSPORTATION FOR OLDER... (2019)</t>
        </is>
      </c>
      <c r="R9" s="4" t="inlineStr">
        <is>
          <t>Verified Open</t>
        </is>
      </c>
      <c r="S9" s="4" t="inlineStr">
        <is>
          <t>Kansas City/Missouri only. Not CA eligible. Bank of America portal.</t>
        </is>
      </c>
      <c r="T9" s="9" t="inlineStr">
        <is>
          <t>GEOGRAPHIC DISQUALIFICATION: Kansas City/Missouri only. Cannot fund California. Perfect senior transportation match but WRONG STATE.</t>
        </is>
      </c>
      <c r="U9" t="inlineStr">
        <is>
          <t>Phase A FAILURE - Should have been filtered by geo_eligible</t>
        </is>
      </c>
    </row>
    <row r="10">
      <c r="B10" s="4" t="inlineStr">
        <is>
          <t>GLEN AND DOROTHY STILLWELL</t>
        </is>
      </c>
      <c r="C10" s="4" t="inlineStr">
        <is>
          <t>956751888</t>
        </is>
      </c>
      <c r="D10" s="4" t="inlineStr">
        <is>
          <t>CA</t>
        </is>
      </c>
      <c r="E10" s="6" t="n">
        <v>3620077</v>
      </c>
      <c r="F10" s="4" t="n">
        <v>2</v>
      </c>
      <c r="G10" s="4" t="n">
        <v>0</v>
      </c>
      <c r="H10" s="4" t="n">
        <v>3</v>
      </c>
      <c r="I10" s="6" t="n">
        <v>11500</v>
      </c>
      <c r="J10" s="4" t="inlineStr">
        <is>
          <t>$3,000 - $60,000</t>
        </is>
      </c>
      <c r="K10" s="4" t="inlineStr"/>
      <c r="L10" s="4" t="n">
        <v>2022</v>
      </c>
      <c r="M10" s="4" t="inlineStr">
        <is>
          <t>TRUE</t>
        </is>
      </c>
      <c r="N10" s="4" t="inlineStr">
        <is>
          <t>N/A</t>
        </is>
      </c>
      <c r="O10" s="4" t="inlineStr">
        <is>
          <t>PROGRESS INC: $20,000 for TRANSPORTATION COSTS AND DISABILITIES DAY SERVICES... (2021)</t>
        </is>
      </c>
      <c r="P10" s="4" t="inlineStr">
        <is>
          <t>PROGRESS INC: $20,000 for TRANSPORTATION COSTS AND DISABILITIES DAY SERVICES... (2022)</t>
        </is>
      </c>
      <c r="Q10" s="4" t="inlineStr"/>
      <c r="R10" s="4" t="inlineStr">
        <is>
          <t>Needs Review</t>
        </is>
      </c>
      <c r="S10" s="4" t="inlineStr">
        <is>
          <t>Pasadena CA area. No public portal. Contact trustee directly.</t>
        </is>
      </c>
      <c r="T10" s="8" t="inlineStr">
        <is>
          <t>UNCERTAIN FIT: Pasadena CA based but no public portal. Must contact trustee. May be too geographically narrow for Riverside.</t>
        </is>
      </c>
      <c r="U10" t="inlineStr">
        <is>
          <t>Phase B - Needs direct contact</t>
        </is>
      </c>
    </row>
    <row r="11">
      <c r="B11" s="4" t="inlineStr">
        <is>
          <t>METROWEST HEALTH FOUNDATION INC</t>
        </is>
      </c>
      <c r="C11" s="4" t="inlineStr">
        <is>
          <t>042121342</t>
        </is>
      </c>
      <c r="D11" s="4" t="inlineStr">
        <is>
          <t>MA</t>
        </is>
      </c>
      <c r="E11" s="6" t="n">
        <v>125787047</v>
      </c>
      <c r="F11" s="4" t="n">
        <v>2</v>
      </c>
      <c r="G11" s="4" t="n">
        <v>0</v>
      </c>
      <c r="H11" s="4" t="n">
        <v>18</v>
      </c>
      <c r="I11" s="6" t="n">
        <v>9798</v>
      </c>
      <c r="J11" s="4" t="inlineStr">
        <is>
          <t>$613 - $473,437</t>
        </is>
      </c>
      <c r="K11" s="4" t="inlineStr"/>
      <c r="L11" s="4" t="n">
        <v>2023</v>
      </c>
      <c r="M11" s="4" t="inlineStr">
        <is>
          <t>TRUE</t>
        </is>
      </c>
      <c r="N11" s="4" t="inlineStr">
        <is>
          <t>WWW.MWHEALTH.ORG</t>
        </is>
      </c>
      <c r="O11" s="4" t="inlineStr">
        <is>
          <t>NATICK SERVICE COUNCIL INC: $12,500 for STABILITY: CAREER DEVELOPMENT &amp; CASE MANAGEMENT... (2022)</t>
        </is>
      </c>
      <c r="P11" s="4" t="inlineStr">
        <is>
          <t>NATICK SERVICE COUNCIL INC: $12,500 for STABILITY: CAREER DEVELOPMENT &amp; CASE MANAGEMENT... (2021)</t>
        </is>
      </c>
      <c r="Q11" s="4" t="inlineStr"/>
      <c r="R11" s="4" t="inlineStr">
        <is>
          <t>Verified Open</t>
        </is>
      </c>
      <c r="S11" s="4" t="inlineStr">
        <is>
          <t>MetroWest Boston MA only. Not CA eligible. Concept paper required. Funds older adults.</t>
        </is>
      </c>
      <c r="T11" s="9" t="inlineStr">
        <is>
          <t>GEOGRAPHIC DISQUALIFICATION: MetroWest Boston MA only. Cannot fund California. Has older adult focus but WRONG STATE.</t>
        </is>
      </c>
      <c r="U11" t="inlineStr">
        <is>
          <t>Phase A FAILURE - Should have been filtered by geo_eligible</t>
        </is>
      </c>
    </row>
    <row r="12">
      <c r="B12" s="4" t="inlineStr">
        <is>
          <t>TD CHARITABLE FOUNDATION</t>
        </is>
      </c>
      <c r="C12" s="4" t="inlineStr">
        <is>
          <t>141864317</t>
        </is>
      </c>
      <c r="D12" s="4" t="inlineStr">
        <is>
          <t>ME</t>
        </is>
      </c>
      <c r="E12" s="6" t="n">
        <v>8961309</v>
      </c>
      <c r="F12" s="4" t="n">
        <v>2</v>
      </c>
      <c r="G12" s="4" t="n">
        <v>0</v>
      </c>
      <c r="H12" s="4" t="n">
        <v>9</v>
      </c>
      <c r="I12" s="6" t="n">
        <v>10000</v>
      </c>
      <c r="J12" s="4" t="inlineStr">
        <is>
          <t>$100 - $700,000</t>
        </is>
      </c>
      <c r="K12" s="4" t="inlineStr"/>
      <c r="L12" s="4" t="n">
        <v>2023</v>
      </c>
      <c r="M12" s="4" t="inlineStr">
        <is>
          <t>TRUE</t>
        </is>
      </c>
      <c r="N12" s="4" t="inlineStr">
        <is>
          <t>HTTPS://WWW.TD.COM/US/EN/ABOUT-US/COMMUNITIES</t>
        </is>
      </c>
      <c r="O12" s="4" t="inlineStr">
        <is>
          <t>SENIORS FIRST INC: $10,000 for EMERGENCY MEALS ON WHEELS PROGRAM... (2020)</t>
        </is>
      </c>
      <c r="P12" s="4" t="inlineStr">
        <is>
          <t>SENIORS FIRST INC: $10,000 for EMERGENCY MEALS ON WHEELS PROGRAM... (2019)</t>
        </is>
      </c>
      <c r="Q12" s="4" t="inlineStr"/>
      <c r="R12" s="4" t="inlineStr">
        <is>
          <t>Verified Open</t>
        </is>
      </c>
      <c r="S12" s="4" t="inlineStr">
        <is>
          <t>East Coast only (TD Bank area). Not CA eligible. CyberGrants portal.</t>
        </is>
      </c>
      <c r="T12" s="9" t="inlineStr">
        <is>
          <t>GEOGRAPHIC DISQUALIFICATION: East Coast only (TD Bank footprint). Cannot fund California. Has senior programs but WRONG STATE.</t>
        </is>
      </c>
      <c r="U12" t="inlineStr">
        <is>
          <t>Phase A FAILURE - Should have been filtered by geo_eligible</t>
        </is>
      </c>
    </row>
    <row r="13">
      <c r="B13" s="4" t="inlineStr">
        <is>
          <t>AMERICAN WOODMARK FOUNDATION INC</t>
        </is>
      </c>
      <c r="C13" s="4" t="inlineStr">
        <is>
          <t>541759773</t>
        </is>
      </c>
      <c r="D13" s="4" t="inlineStr">
        <is>
          <t>VA</t>
        </is>
      </c>
      <c r="E13" s="6" t="n">
        <v>1278837</v>
      </c>
      <c r="F13" s="4" t="n">
        <v>2</v>
      </c>
      <c r="G13" s="4" t="n">
        <v>0</v>
      </c>
      <c r="H13" s="4" t="n">
        <v>8</v>
      </c>
      <c r="I13" s="6" t="n">
        <v>2000</v>
      </c>
      <c r="J13" s="4" t="inlineStr">
        <is>
          <t>$400 - $36,500</t>
        </is>
      </c>
      <c r="K13" s="4" t="inlineStr"/>
      <c r="L13" s="4" t="n">
        <v>2024</v>
      </c>
      <c r="M13" s="4" t="inlineStr">
        <is>
          <t>TRUE</t>
        </is>
      </c>
      <c r="N13" s="4" t="inlineStr">
        <is>
          <t>AMERICANWOODMARK.COM</t>
        </is>
      </c>
      <c r="O13" s="4" t="inlineStr">
        <is>
          <t>NW WORKS INC: $3,500 for SUPPORT THE NEEDS OF CLIENT TRANSPORTATION TO AND ... (2020)</t>
        </is>
      </c>
      <c r="P13" s="4" t="inlineStr">
        <is>
          <t>SENIORS FIRST INC: $3,000 for SUPPORT THE MEALS ON WHEELS PROGRAM, WHICH WILL PR... (2021)</t>
        </is>
      </c>
      <c r="Q13" s="4" t="inlineStr"/>
      <c r="R13" s="4" t="inlineStr">
        <is>
          <t>Needs Review</t>
        </is>
      </c>
      <c r="S13" s="4" t="inlineStr">
        <is>
          <t>Where company has facilities. Has Rancho Cordova CA. Request application.</t>
        </is>
      </c>
      <c r="T13" s="8" t="inlineStr">
        <is>
          <t>UNCERTAIN FIT: Has Rancho Cordova CA facility (Sacramento area) but that is Northern CA, not Riverside. Very small grants.</t>
        </is>
      </c>
      <c r="U13" t="inlineStr">
        <is>
          <t>Phase B - Geographic concern identified</t>
        </is>
      </c>
    </row>
    <row r="14">
      <c r="B14" s="4" t="inlineStr">
        <is>
          <t>THE DR P PHILLIPS FOUNDATION</t>
        </is>
      </c>
      <c r="C14" s="4" t="inlineStr">
        <is>
          <t>596135403</t>
        </is>
      </c>
      <c r="D14" s="4" t="inlineStr">
        <is>
          <t>FL</t>
        </is>
      </c>
      <c r="E14" s="6" t="n">
        <v>44523995</v>
      </c>
      <c r="F14" s="4" t="n">
        <v>2</v>
      </c>
      <c r="G14" s="4" t="n">
        <v>0</v>
      </c>
      <c r="H14" s="4" t="n">
        <v>2</v>
      </c>
      <c r="I14" s="6" t="n">
        <v>5000</v>
      </c>
      <c r="J14" s="4" t="inlineStr">
        <is>
          <t>$264 - $1,917,899</t>
        </is>
      </c>
      <c r="K14" s="4" t="inlineStr"/>
      <c r="L14" s="4" t="n">
        <v>2020</v>
      </c>
      <c r="M14" s="4" t="inlineStr">
        <is>
          <t>TRUE</t>
        </is>
      </c>
      <c r="N14" s="4" t="inlineStr">
        <is>
          <t>WWW.DRPHILLIPS.ORG</t>
        </is>
      </c>
      <c r="O14" s="4" t="inlineStr">
        <is>
          <t>SENIORS FIRST INC: $50,000 for PROGRAM SUPPORT - SOCIAL SERVICES... (2020)</t>
        </is>
      </c>
      <c r="P14" s="4" t="inlineStr">
        <is>
          <t>OSCEOLA COUNTY COUNCIL ON AGING INC: $10,000 for PROGRAM SUPPORT - SOCIAL SERVICES... (2020)</t>
        </is>
      </c>
      <c r="Q14" s="4" t="inlineStr"/>
      <c r="R14" s="4" t="inlineStr">
        <is>
          <t>Invite Only</t>
        </is>
      </c>
      <c r="S14" s="4" t="inlineStr">
        <is>
          <t>Orange/Osceola County FL only. Not CA eligible. LOI first, then invite.</t>
        </is>
      </c>
      <c r="T14" s="9" t="inlineStr">
        <is>
          <t>GEOGRAPHIC DISQUALIFICATION: Orange/Osceola County FL only. Cannot fund California. INVITE ONLY anyway.</t>
        </is>
      </c>
      <c r="U14" t="inlineStr">
        <is>
          <t>Phase A FAILURE - Should have been filtered by geo_eligible</t>
        </is>
      </c>
    </row>
    <row r="15">
      <c r="B15" s="4" t="inlineStr">
        <is>
          <t>FUNDACION TRIPLE-S INC</t>
        </is>
      </c>
      <c r="C15" s="4" t="inlineStr">
        <is>
          <t>660886681</t>
        </is>
      </c>
      <c r="D15" s="4" t="inlineStr">
        <is>
          <t>PR</t>
        </is>
      </c>
      <c r="E15" s="6" t="n">
        <v>5020399</v>
      </c>
      <c r="F15" s="4" t="n">
        <v>2</v>
      </c>
      <c r="G15" s="4" t="n">
        <v>0</v>
      </c>
      <c r="H15" s="4" t="n">
        <v>2</v>
      </c>
      <c r="I15" s="6" t="n">
        <v>10000</v>
      </c>
      <c r="J15" s="4" t="inlineStr">
        <is>
          <t>$500 - $100,000</t>
        </is>
      </c>
      <c r="K15" s="4" t="inlineStr"/>
      <c r="L15" s="4" t="n">
        <v>2023</v>
      </c>
      <c r="M15" s="4" t="inlineStr">
        <is>
          <t>TRUE</t>
        </is>
      </c>
      <c r="N15" s="4" t="inlineStr">
        <is>
          <t>fundaciontriples@ssspr.com</t>
        </is>
      </c>
      <c r="O15" s="4" t="inlineStr">
        <is>
          <t>ESPERANZA PARA LA VEJEZ INC: $25,000 for SOCIAL SERVICES... (2023)</t>
        </is>
      </c>
      <c r="P15" s="4" t="inlineStr">
        <is>
          <t>ESPERANZA PARA LA VEJEZ INC: $5,000 for SOCIAL SERVICES... (2022)</t>
        </is>
      </c>
      <c r="Q15" s="4" t="inlineStr"/>
      <c r="R15" s="4" t="inlineStr">
        <is>
          <t>Verified Open</t>
        </is>
      </c>
      <c r="S15" s="4" t="inlineStr">
        <is>
          <t>Puerto Rico only. Not CA eligible. Call 787-775-4278.</t>
        </is>
      </c>
      <c r="T15" s="9" t="inlineStr">
        <is>
          <t>GEOGRAPHIC DISQUALIFICATION: Puerto Rico only. Cannot fund California.</t>
        </is>
      </c>
      <c r="U15" t="inlineStr">
        <is>
          <t>Phase A FAILURE - Should have been filtered by geo_eligible</t>
        </is>
      </c>
    </row>
    <row r="16">
      <c r="B16" s="4" t="inlineStr">
        <is>
          <t>THE MYRON STRATTON HOME</t>
        </is>
      </c>
      <c r="C16" s="4" t="inlineStr">
        <is>
          <t>840404260</t>
        </is>
      </c>
      <c r="D16" s="4" t="inlineStr">
        <is>
          <t>CO</t>
        </is>
      </c>
      <c r="E16" s="6" t="n">
        <v>298275321</v>
      </c>
      <c r="F16" s="4" t="n">
        <v>2</v>
      </c>
      <c r="G16" s="4" t="n">
        <v>0</v>
      </c>
      <c r="H16" s="4" t="n">
        <v>3</v>
      </c>
      <c r="I16" s="6" t="n">
        <v>15000</v>
      </c>
      <c r="J16" s="4" t="inlineStr">
        <is>
          <t>$2,500 - $175,000</t>
        </is>
      </c>
      <c r="K16" s="4" t="inlineStr"/>
      <c r="L16" s="4" t="n">
        <v>2023</v>
      </c>
      <c r="M16" s="4" t="inlineStr">
        <is>
          <t>TRUE</t>
        </is>
      </c>
      <c r="N16" s="4" t="inlineStr">
        <is>
          <t>WWW.MYRONSTRATTON.ORG</t>
        </is>
      </c>
      <c r="O16" s="4" t="inlineStr">
        <is>
          <t>SPECIAL KIDS - SPECIAL FAMILIES INC: $20,000 for PROGRAM SUPPORT: DISABILITIES AND SPECIAL NEEDS AS... (2019)</t>
        </is>
      </c>
      <c r="P16" s="4" t="inlineStr">
        <is>
          <t>EL PASO FOUNTAIN VALLEY SENIOR CITIZENS : $18,000 for Senior Center Garden... (2023)</t>
        </is>
      </c>
      <c r="Q16" s="4" t="inlineStr"/>
      <c r="R16" s="4" t="inlineStr">
        <is>
          <t>Verified Open</t>
        </is>
      </c>
      <c r="S16" s="4" t="inlineStr">
        <is>
          <t>S/E Colorado only. Not CA eligible. Dec 1 deadline. "Poor elderly" is focus.</t>
        </is>
      </c>
      <c r="T16" s="9" t="inlineStr">
        <is>
          <t>GEOGRAPHIC DISQUALIFICATION: S/E Colorado only. Cannot fund California. "Poor elderly" is exact match but WRONG STATE.</t>
        </is>
      </c>
      <c r="U16" t="inlineStr">
        <is>
          <t>Phase A FAILURE - Should have been filtered by geo_eligible</t>
        </is>
      </c>
    </row>
    <row r="17">
      <c r="B17" s="4" t="inlineStr">
        <is>
          <t>NEXTFIFTY INITIATIVE</t>
        </is>
      </c>
      <c r="C17" s="4" t="inlineStr">
        <is>
          <t>262700185</t>
        </is>
      </c>
      <c r="D17" s="4" t="inlineStr">
        <is>
          <t>CO</t>
        </is>
      </c>
      <c r="E17" s="6" t="n">
        <v>244297749</v>
      </c>
      <c r="F17" s="4" t="n">
        <v>1</v>
      </c>
      <c r="G17" s="4" t="n">
        <v>0</v>
      </c>
      <c r="H17" s="4" t="n">
        <v>2</v>
      </c>
      <c r="I17" s="6" t="n">
        <v>25000</v>
      </c>
      <c r="J17" s="4" t="inlineStr">
        <is>
          <t>$700 - $1,200,000</t>
        </is>
      </c>
      <c r="K17" s="4" t="inlineStr"/>
      <c r="L17" s="4" t="n">
        <v>2023</v>
      </c>
      <c r="M17" s="4" t="inlineStr">
        <is>
          <t>TRUE</t>
        </is>
      </c>
      <c r="N17" s="4" t="inlineStr">
        <is>
          <t>WWW.NEXT50INITIATIVE.ORG</t>
        </is>
      </c>
      <c r="O17" s="4" t="inlineStr">
        <is>
          <t>CENTER FOR PEOPLE WITH DISABILITIES: $69,000 for INDEPEDENT LIVING FOR OLDER ADULTS WITH DISABILITI... (2023)</t>
        </is>
      </c>
      <c r="P17" s="4" t="inlineStr"/>
      <c r="Q17" s="4" t="inlineStr"/>
      <c r="R17" s="4" t="inlineStr">
        <is>
          <t>Verified Open</t>
        </is>
      </c>
      <c r="S17" s="4" t="inlineStr">
        <is>
          <t>Colorado only. Not CA eligible. Entire mission is 50+ aging. Up to $100K grants.</t>
        </is>
      </c>
      <c r="T17" s="9" t="inlineStr">
        <is>
          <t>GEOGRAPHIC DISQUALIFICATION: Colorado only. Cannot fund California. Entire mission is 50+ aging - perfect match but WRONG STATE.</t>
        </is>
      </c>
      <c r="U17" t="inlineStr">
        <is>
          <t>Phase A FAILURE - Should have been filtered by geo_eligible</t>
        </is>
      </c>
    </row>
  </sheetData>
  <dataValidations count="1">
    <dataValidation sqref="R3:R17" showDropDown="0" showInputMessage="0" showErrorMessage="0" allowBlank="1" type="list">
      <formula1>"Verified Open,Invite Only,Needs Review"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U11"/>
  <sheetViews>
    <sheetView zoomScale="14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2" max="2"/>
    <col width="12" customWidth="1" min="3" max="3"/>
    <col width="6" customWidth="1" min="4" max="4"/>
    <col width="15" customWidth="1" min="5" max="5"/>
    <col width="12" customWidth="1" min="6" max="6"/>
    <col width="12" customWidth="1" min="7" max="7"/>
    <col width="15" customWidth="1" min="8" max="8"/>
    <col width="15" customWidth="1" min="9" max="9"/>
    <col width="18" customWidth="1" min="10" max="10"/>
    <col width="15" customWidth="1" min="11" max="11"/>
    <col width="15" customWidth="1" min="12" max="12"/>
    <col width="8" customWidth="1" min="13" max="13"/>
    <col width="40" customWidth="1" min="14" max="14"/>
    <col width="45" customWidth="1" min="15" max="15"/>
    <col width="45" customWidth="1" min="16" max="16"/>
    <col width="45" customWidth="1" min="17" max="17"/>
    <col width="18" customWidth="1" min="18" max="18"/>
    <col width="30" customWidth="1" min="19" max="19"/>
    <col width="80" customWidth="1" min="20" max="20"/>
    <col width="45" customWidth="1" min="21" max="21"/>
  </cols>
  <sheetData>
    <row r="2">
      <c r="B2" s="3" t="inlineStr">
        <is>
          <t>Foundation Name</t>
        </is>
      </c>
      <c r="C2" s="3" t="inlineStr">
        <is>
          <t>EIN</t>
        </is>
      </c>
      <c r="D2" s="3" t="inlineStr">
        <is>
          <t>State</t>
        </is>
      </c>
      <c r="E2" s="3" t="inlineStr">
        <is>
          <t>Assets</t>
        </is>
      </c>
      <c r="F2" s="3" t="inlineStr">
        <is>
          <t>Target Grants</t>
        </is>
      </c>
      <c r="G2" s="3" t="inlineStr">
        <is>
          <t>Gold Standard</t>
        </is>
      </c>
      <c r="H2" s="3" t="inlineStr">
        <is>
          <t>Total to Siblings</t>
        </is>
      </c>
      <c r="I2" s="3" t="inlineStr">
        <is>
          <t>Median Grant</t>
        </is>
      </c>
      <c r="J2" s="3" t="inlineStr">
        <is>
          <t>Grant Range</t>
        </is>
      </c>
      <c r="K2" s="3" t="inlineStr">
        <is>
          <t>States Funded</t>
        </is>
      </c>
      <c r="L2" s="3" t="inlineStr">
        <is>
          <t>Most Recent Year</t>
        </is>
      </c>
      <c r="M2" s="3" t="inlineStr">
        <is>
          <t>IRS Open</t>
        </is>
      </c>
      <c r="N2" s="3" t="inlineStr">
        <is>
          <t>Website</t>
        </is>
      </c>
      <c r="O2" s="3" t="inlineStr">
        <is>
          <t>Sample Grant 1</t>
        </is>
      </c>
      <c r="P2" s="3" t="inlineStr">
        <is>
          <t>Sample Grant 2</t>
        </is>
      </c>
      <c r="Q2" s="3" t="inlineStr">
        <is>
          <t>Sample Grant 3</t>
        </is>
      </c>
      <c r="R2" s="3" t="inlineStr">
        <is>
          <t>Verification Status</t>
        </is>
      </c>
      <c r="S2" s="3" t="inlineStr">
        <is>
          <t>Verification Notes</t>
        </is>
      </c>
      <c r="T2" s="1" t="inlineStr">
        <is>
          <t>Fit Assessment</t>
        </is>
      </c>
      <c r="U2" s="1" t="inlineStr">
        <is>
          <t>Discovery Stage</t>
        </is>
      </c>
    </row>
    <row r="3">
      <c r="B3" s="4" t="inlineStr">
        <is>
          <t>GEORGIA POWER FOUNDATION INC</t>
        </is>
      </c>
      <c r="C3" s="4" t="inlineStr">
        <is>
          <t>581709417</t>
        </is>
      </c>
      <c r="D3" s="4" t="inlineStr">
        <is>
          <t>GA</t>
        </is>
      </c>
      <c r="E3" s="6" t="n">
        <v>217918727</v>
      </c>
      <c r="F3" s="4" t="n">
        <v>5</v>
      </c>
      <c r="G3" s="4" t="n">
        <v>0</v>
      </c>
      <c r="H3" s="4" t="n">
        <v>5</v>
      </c>
      <c r="I3" s="6" t="n">
        <v>3000</v>
      </c>
      <c r="J3" s="4" t="inlineStr">
        <is>
          <t>$9 - $1,000,000</t>
        </is>
      </c>
      <c r="K3" s="4" t="inlineStr"/>
      <c r="L3" s="4" t="n">
        <v>2023</v>
      </c>
      <c r="M3" s="4" t="inlineStr">
        <is>
          <t>TRUE</t>
        </is>
      </c>
      <c r="N3" s="4" t="inlineStr">
        <is>
          <t>N/A</t>
        </is>
      </c>
      <c r="O3" s="4" t="inlineStr">
        <is>
          <t>HORIZONS ATLANTA INC: $25,000 for HORIZONS ATLANTA SUMMER LEARNING AND ENRICHMENT PR... (2022)</t>
        </is>
      </c>
      <c r="P3" s="4" t="inlineStr">
        <is>
          <t>HORIZONS ATLANTA INC: $100,000 for INCREASING SUCCESS OF STUDENTS IN UNDERSERVED COMM... (2019)</t>
        </is>
      </c>
      <c r="Q3" s="4" t="inlineStr">
        <is>
          <t>HORIZONS ATLANTA INC: $75,000 for HORIZONS ATLANTA SUMMER ENRICHMENT PROGRAM FOR CHI... (2018)</t>
        </is>
      </c>
      <c r="R3" s="4" t="inlineStr">
        <is>
          <t>Invite Only</t>
        </is>
      </c>
      <c r="S3" s="4" t="inlineStr">
        <is>
          <t>Georgia only. Invite only via company reps. Up to $25K ongoing, larger at board meetings.</t>
        </is>
      </c>
      <c r="T3" s="7" t="inlineStr">
        <is>
          <t>EXISTING FUNDER: Gave Horizons Atlanta $100K, $75K, $50K, $40K over 5 years. Proven relationship. BUT INVITE ONLY.</t>
        </is>
      </c>
      <c r="U3" t="inlineStr">
        <is>
          <t>Phase B - Verified existing relationship</t>
        </is>
      </c>
    </row>
    <row r="4">
      <c r="B4" s="4" t="inlineStr">
        <is>
          <t>Joseph B Whitehead Foundation</t>
        </is>
      </c>
      <c r="C4" s="4" t="inlineStr">
        <is>
          <t>586001954</t>
        </is>
      </c>
      <c r="D4" s="4" t="inlineStr">
        <is>
          <t>GA</t>
        </is>
      </c>
      <c r="E4" s="6" t="n">
        <v>192205042</v>
      </c>
      <c r="F4" s="4" t="n">
        <v>3</v>
      </c>
      <c r="G4" s="4" t="n">
        <v>0</v>
      </c>
      <c r="H4" s="4" t="n">
        <v>3</v>
      </c>
      <c r="I4" s="6" t="n">
        <v>500000</v>
      </c>
      <c r="J4" s="4" t="inlineStr">
        <is>
          <t>$25,000 - $25,000,068</t>
        </is>
      </c>
      <c r="K4" s="4" t="inlineStr"/>
      <c r="L4" s="4" t="n">
        <v>2023</v>
      </c>
      <c r="M4" s="4" t="inlineStr">
        <is>
          <t>TRUE</t>
        </is>
      </c>
      <c r="N4" s="4" t="inlineStr">
        <is>
          <t>www.jbwhitehead.org</t>
        </is>
      </c>
      <c r="O4" s="4" t="inlineStr">
        <is>
          <t>HORIZONS ATLANTA INC: $500,000 for Expansion of academic enrichment program.... (2023)</t>
        </is>
      </c>
      <c r="P4" s="4" t="inlineStr">
        <is>
          <t>HORIZONS ATLANTA INC: $400,000 for Expansion of academic enrichment program.... (2021)</t>
        </is>
      </c>
      <c r="Q4" s="4" t="inlineStr">
        <is>
          <t>HORIZONS ATLANTA INC: $400,000 for Expansion of academic enrichment program.... (2022)</t>
        </is>
      </c>
      <c r="R4" s="4" t="inlineStr">
        <is>
          <t>Verified Open</t>
        </is>
      </c>
      <c r="S4" s="4" t="inlineStr">
        <is>
          <t>Metro Atlanta (13 counties). Online Blackbaud. $500K+ budget req. Feb 1 &amp; Aug 15 deadlines.</t>
        </is>
      </c>
      <c r="T4" s="7" t="inlineStr">
        <is>
          <t>STRONG FIT: Made $2M grants to Atlanta Neighborhood Development for affordable housing. Metro Atlanta. Feb 1 &amp; Aug 15 deadlines.</t>
        </is>
      </c>
      <c r="U4" t="inlineStr">
        <is>
          <t>Phase B - Verified</t>
        </is>
      </c>
    </row>
    <row r="5">
      <c r="B5" s="4" t="inlineStr">
        <is>
          <t>AEC Trust</t>
        </is>
      </c>
      <c r="C5" s="4" t="inlineStr">
        <is>
          <t>366725987</t>
        </is>
      </c>
      <c r="D5" s="4" t="inlineStr">
        <is>
          <t>DE</t>
        </is>
      </c>
      <c r="E5" s="6" t="n">
        <v>48373480</v>
      </c>
      <c r="F5" s="4" t="n">
        <v>2</v>
      </c>
      <c r="G5" s="4" t="n">
        <v>0</v>
      </c>
      <c r="H5" s="4" t="n">
        <v>2</v>
      </c>
      <c r="I5" s="6" t="n">
        <v>10000</v>
      </c>
      <c r="J5" s="4" t="inlineStr">
        <is>
          <t>$2,500 - $300,000</t>
        </is>
      </c>
      <c r="K5" s="4" t="inlineStr"/>
      <c r="L5" s="4" t="n">
        <v>2022</v>
      </c>
      <c r="M5" s="4" t="inlineStr">
        <is>
          <t>TRUE</t>
        </is>
      </c>
      <c r="N5" s="4" t="inlineStr">
        <is>
          <t>https://eticket.railway.uz</t>
        </is>
      </c>
      <c r="O5" s="4" t="inlineStr">
        <is>
          <t>HORIZONS ATLANTA INC: $25,000 for Summer Academic and Enrichment program... (2022)</t>
        </is>
      </c>
      <c r="P5" s="4" t="inlineStr">
        <is>
          <t>HORIZONS ATLANTA INC: $25,000 for 2021 Summer Academic and Enrichment Program... (2021)</t>
        </is>
      </c>
      <c r="Q5" s="4" t="inlineStr"/>
      <c r="R5" s="4" t="inlineStr">
        <is>
          <t>Invite Only</t>
        </is>
      </c>
      <c r="S5" s="4" t="inlineStr">
        <is>
          <t>Invite only. Boulder/Gainesville/Atlanta/W.MA. $10K-$50K. April 1 deadline if invited.</t>
        </is>
      </c>
      <c r="T5" s="7" t="inlineStr">
        <is>
          <t>EXISTING FUNDER: Gave Horizons Atlanta $25K in 2021-2022. Multi-state coverage matches network. BUT INVITE ONLY.</t>
        </is>
      </c>
      <c r="U5" t="inlineStr">
        <is>
          <t>Phase B - Verified existing relationship</t>
        </is>
      </c>
    </row>
    <row r="6">
      <c r="B6" s="4" t="inlineStr">
        <is>
          <t>THE CALIFORNIA WELLNESS FOUNDATION</t>
        </is>
      </c>
      <c r="C6" s="4" t="inlineStr">
        <is>
          <t>954292101</t>
        </is>
      </c>
      <c r="D6" s="4" t="inlineStr">
        <is>
          <t>CA</t>
        </is>
      </c>
      <c r="E6" s="6" t="n">
        <v>1042135742</v>
      </c>
      <c r="F6" s="4" t="n">
        <v>2</v>
      </c>
      <c r="G6" s="4" t="n">
        <v>0</v>
      </c>
      <c r="H6" s="4" t="n">
        <v>4</v>
      </c>
      <c r="I6" s="6" t="n">
        <v>10000</v>
      </c>
      <c r="J6" s="4" t="inlineStr">
        <is>
          <t>$50 - $2,000,000</t>
        </is>
      </c>
      <c r="K6" s="4" t="inlineStr"/>
      <c r="L6" s="4" t="n">
        <v>2023</v>
      </c>
      <c r="M6" s="4" t="inlineStr">
        <is>
          <t>TRUE</t>
        </is>
      </c>
      <c r="N6" s="4" t="inlineStr">
        <is>
          <t>WWW.CALWELLNESS.ORG</t>
        </is>
      </c>
      <c r="O6" s="4" t="inlineStr">
        <is>
          <t>HORIZONS FOUNDATION: $325,000 for FOR CORE OPERATING SUPPORT TO BRING CRITICAL RESOU... (2019)</t>
        </is>
      </c>
      <c r="P6" s="4" t="inlineStr">
        <is>
          <t>HORIZONS FOUNDATION: $405,000 for FOR CORE OPERATING SUPPORT TO BRING WELLNESS AND C... (2023)</t>
        </is>
      </c>
      <c r="Q6" s="4" t="inlineStr"/>
      <c r="R6" s="4" t="inlineStr">
        <is>
          <t>Needs Review</t>
        </is>
      </c>
      <c r="S6" s="4" t="inlineStr">
        <is>
          <t>California only. PAUSED - not accepting LOIs after Jul 31 2025. Watch for 2026 announcement.</t>
        </is>
      </c>
      <c r="T6" s="9" t="inlineStr">
        <is>
          <t>DATA ERROR: Grants are to "Horizons Foundation" (LGBTQ org in SF), NOT "Horizons National" (K-8 education). Wrong organization matched. Also PAUSED.</t>
        </is>
      </c>
      <c r="U6" t="inlineStr">
        <is>
          <t>Phase B - Match review found data matching error</t>
        </is>
      </c>
    </row>
    <row r="7">
      <c r="B7" s="4" t="inlineStr">
        <is>
          <t>The Webber Family Foundation</t>
        </is>
      </c>
      <c r="C7" s="4" t="inlineStr">
        <is>
          <t>742927126</t>
        </is>
      </c>
      <c r="D7" s="4" t="inlineStr">
        <is>
          <t>TX</t>
        </is>
      </c>
      <c r="E7" s="6" t="n">
        <v>13939322</v>
      </c>
      <c r="F7" s="4" t="n">
        <v>1</v>
      </c>
      <c r="G7" s="4" t="n">
        <v>0</v>
      </c>
      <c r="H7" s="4" t="n">
        <v>1</v>
      </c>
      <c r="I7" s="6" t="n">
        <v>20000</v>
      </c>
      <c r="J7" s="4" t="inlineStr">
        <is>
          <t>$1,000 - $250,000</t>
        </is>
      </c>
      <c r="K7" s="4" t="inlineStr"/>
      <c r="L7" s="4" t="n">
        <v>2020</v>
      </c>
      <c r="M7" s="4" t="inlineStr">
        <is>
          <t>TRUE</t>
        </is>
      </c>
      <c r="N7" s="4" t="inlineStr">
        <is>
          <t>www.webberfoundation.org</t>
        </is>
      </c>
      <c r="O7" s="4" t="inlineStr">
        <is>
          <t>HORIZONS GREATER WASHINGTON INC: $2,000 for Support tuition-free academic programs for student... (2020)</t>
        </is>
      </c>
      <c r="P7" s="4" t="inlineStr"/>
      <c r="Q7" s="4" t="inlineStr"/>
      <c r="R7" s="4" t="inlineStr">
        <is>
          <t>Verified Open</t>
        </is>
      </c>
      <c r="S7" s="4" t="inlineStr">
        <is>
          <t>Austin TX (main) and DC. Low-income + high-achieving youth. Email CTEF common app.</t>
        </is>
      </c>
      <c r="T7" s="8" t="inlineStr">
        <is>
          <t>EXISTING FUNDER: Gave Horizons Greater Washington $2K. Low-income + high-achieving youth focus aligns. Austin TX and DC coverage.</t>
        </is>
      </c>
      <c r="U7" t="inlineStr">
        <is>
          <t>Phase B - Verified</t>
        </is>
      </c>
    </row>
    <row r="8">
      <c r="B8" s="4" t="inlineStr">
        <is>
          <t>JACK KENT COOKE FOUNDATION</t>
        </is>
      </c>
      <c r="C8" s="4" t="inlineStr">
        <is>
          <t>541896244</t>
        </is>
      </c>
      <c r="D8" s="4" t="inlineStr">
        <is>
          <t>VA</t>
        </is>
      </c>
      <c r="E8" s="6" t="n">
        <v>890282047</v>
      </c>
      <c r="F8" s="4" t="n">
        <v>1</v>
      </c>
      <c r="G8" s="4" t="n">
        <v>0</v>
      </c>
      <c r="H8" s="4" t="n">
        <v>1</v>
      </c>
      <c r="I8" s="6" t="n">
        <v>8000</v>
      </c>
      <c r="J8" s="4" t="inlineStr">
        <is>
          <t>$8 - $1,040,000</t>
        </is>
      </c>
      <c r="K8" s="4" t="inlineStr"/>
      <c r="L8" s="4" t="n">
        <v>2021</v>
      </c>
      <c r="M8" s="4" t="inlineStr">
        <is>
          <t>TRUE</t>
        </is>
      </c>
      <c r="N8" s="4" t="inlineStr">
        <is>
          <t>WWW.JKCF.ORG</t>
        </is>
      </c>
      <c r="O8" s="4" t="inlineStr">
        <is>
          <t>HORIZONS GREATER WASHINGTON INC: $18,460 for SUPPORT HORIZONS GREATER WASHINGTON'S ACADEMIC SUM... (2021)</t>
        </is>
      </c>
      <c r="P8" s="4" t="inlineStr"/>
      <c r="Q8" s="4" t="inlineStr"/>
      <c r="R8" s="4" t="inlineStr">
        <is>
          <t>Invite Only</t>
        </is>
      </c>
      <c r="S8" s="4" t="inlineStr">
        <is>
          <t>Rarely funds unsolicited. Scholarship focused. Good Neighbor grants DC metro only $10-35K.</t>
        </is>
      </c>
      <c r="T8" s="8" t="inlineStr">
        <is>
          <t>WEAK FIT: Primarily scholarship-focused, rarely funds organizations. Gave Horizons DC $18K once. Good Neighbor grants DC only.</t>
        </is>
      </c>
      <c r="U8" t="inlineStr">
        <is>
          <t>Phase B - Verified limited org funding</t>
        </is>
      </c>
    </row>
    <row r="9">
      <c r="B9" s="4" t="inlineStr">
        <is>
          <t>THE PELINO CHARITABLE FOUNDATION</t>
        </is>
      </c>
      <c r="C9" s="4" t="inlineStr">
        <is>
          <t>367158061</t>
        </is>
      </c>
      <c r="D9" s="4" t="inlineStr">
        <is>
          <t>IL</t>
        </is>
      </c>
      <c r="E9" s="6" t="n">
        <v>549709</v>
      </c>
      <c r="F9" s="4" t="n">
        <v>1</v>
      </c>
      <c r="G9" s="4" t="n">
        <v>0</v>
      </c>
      <c r="H9" s="4" t="n">
        <v>1</v>
      </c>
      <c r="I9" s="6" t="n">
        <v>10000</v>
      </c>
      <c r="J9" s="4" t="inlineStr">
        <is>
          <t>$1,000 - $100,000</t>
        </is>
      </c>
      <c r="K9" s="4" t="inlineStr"/>
      <c r="L9" s="4" t="n">
        <v>2020</v>
      </c>
      <c r="M9" s="4" t="inlineStr">
        <is>
          <t>TRUE</t>
        </is>
      </c>
      <c r="N9" s="4" t="inlineStr">
        <is>
          <t>WWW.PELINOFOUNDATION.ORG</t>
        </is>
      </c>
      <c r="O9" s="4" t="inlineStr">
        <is>
          <t>HORIZONS FOR YOUTH: $10,000 for SUMMER ACADEMIC PROGRAM FOCUSING ON DIVERSE LEARNE... (2020)</t>
        </is>
      </c>
      <c r="P9" s="4" t="inlineStr"/>
      <c r="Q9" s="4" t="inlineStr"/>
      <c r="R9" s="4" t="inlineStr">
        <is>
          <t>Needs Review</t>
        </is>
      </c>
      <c r="S9" s="4" t="inlineStr">
        <is>
          <t>Chicago area. CURRENTLY NOT ACCEPTING applications. School mental health focus now.</t>
        </is>
      </c>
      <c r="T9" s="9" t="inlineStr">
        <is>
          <t>CLOSED: Foundation currently NOT ACCEPTING applications. Has shifted focus to school mental health only.</t>
        </is>
      </c>
      <c r="U9" t="inlineStr">
        <is>
          <t>Phase B - Verified closed to applications</t>
        </is>
      </c>
    </row>
    <row r="10">
      <c r="B10" s="4" t="inlineStr">
        <is>
          <t>CLOUDBREAK FOUNDATION INC</t>
        </is>
      </c>
      <c r="C10" s="4" t="inlineStr">
        <is>
          <t>464730969</t>
        </is>
      </c>
      <c r="D10" s="4" t="inlineStr">
        <is>
          <t>VA</t>
        </is>
      </c>
      <c r="E10" s="6" t="n">
        <v>1404959</v>
      </c>
      <c r="F10" s="4" t="n">
        <v>1</v>
      </c>
      <c r="G10" s="4" t="n">
        <v>0</v>
      </c>
      <c r="H10" s="4" t="n">
        <v>1</v>
      </c>
      <c r="I10" s="6" t="n">
        <v>10000</v>
      </c>
      <c r="J10" s="4" t="inlineStr">
        <is>
          <t>$5,000 - $15,000</t>
        </is>
      </c>
      <c r="K10" s="4" t="inlineStr"/>
      <c r="L10" s="4" t="n">
        <v>2022</v>
      </c>
      <c r="M10" s="4" t="inlineStr">
        <is>
          <t>TRUE</t>
        </is>
      </c>
      <c r="N10" s="4" t="inlineStr">
        <is>
          <t>www.cloudbreakfoundation.org</t>
        </is>
      </c>
      <c r="O10" s="4" t="inlineStr">
        <is>
          <t>HORIZONS GREATER WASHINGTON INC: $10,000 for Children's summer program... (2022)</t>
        </is>
      </c>
      <c r="P10" s="4" t="inlineStr"/>
      <c r="Q10" s="4" t="inlineStr"/>
      <c r="R10" s="4" t="inlineStr">
        <is>
          <t>Verified Open</t>
        </is>
      </c>
      <c r="S10" s="4" t="inlineStr">
        <is>
          <t>DC metro. Winter cycle (Sep 25 LOI) for new orgs. $5K-$20K. Children/elderly focus.</t>
        </is>
      </c>
      <c r="T10" s="8" t="inlineStr">
        <is>
          <t>EXISTING FUNDER: Gave Horizons Greater Washington $10K in 2022. DC metro focus. Winter cycle (Sep 25 LOI).</t>
        </is>
      </c>
      <c r="U10" t="inlineStr">
        <is>
          <t>Phase B - Verified</t>
        </is>
      </c>
    </row>
    <row r="11">
      <c r="B11" s="4" t="inlineStr">
        <is>
          <t>JACK AND ANNE GLENN CHAR FDN</t>
        </is>
      </c>
      <c r="C11" s="4" t="inlineStr">
        <is>
          <t>200545315</t>
        </is>
      </c>
      <c r="D11" s="4" t="inlineStr">
        <is>
          <t>FL</t>
        </is>
      </c>
      <c r="E11" s="6" t="n">
        <v>12157971</v>
      </c>
      <c r="F11" s="4" t="n">
        <v>1</v>
      </c>
      <c r="G11" s="4" t="n">
        <v>0</v>
      </c>
      <c r="H11" s="4" t="n">
        <v>2</v>
      </c>
      <c r="I11" s="6" t="n">
        <v>10000</v>
      </c>
      <c r="J11" s="4" t="inlineStr">
        <is>
          <t>$2,500 - $75,000</t>
        </is>
      </c>
      <c r="K11" s="4" t="inlineStr"/>
      <c r="L11" s="4" t="n">
        <v>2023</v>
      </c>
      <c r="M11" s="4" t="inlineStr">
        <is>
          <t>TRUE</t>
        </is>
      </c>
      <c r="N11" s="4" t="inlineStr">
        <is>
          <t>https://www.glenncharitable.org</t>
        </is>
      </c>
      <c r="O11" s="4" t="inlineStr">
        <is>
          <t>HORIZONS ATLANTA INC: $15,000 for ACADEMIC ENRICHMENT... (2023)</t>
        </is>
      </c>
      <c r="P11" s="4" t="inlineStr"/>
      <c r="Q11" s="4" t="inlineStr"/>
      <c r="R11" s="4" t="inlineStr">
        <is>
          <t>Verified Open</t>
        </is>
      </c>
      <c r="S11" s="4" t="inlineStr">
        <is>
          <t>Atlanta/Brunswick GA, Asheville/Highlands NC, Charleston SC, VA Beach. Mar 15 &amp; Sep 15 deadlines.</t>
        </is>
      </c>
      <c r="T11" s="7" t="inlineStr">
        <is>
          <t>EXISTING FUNDER: Gave Horizons Atlanta $15K in 2023. Multi-state coverage (GA, NC, SC, VA) matches network. Mar 15 &amp; Sep 15 deadlines.</t>
        </is>
      </c>
      <c r="U11" t="inlineStr">
        <is>
          <t>Phase B - Verified</t>
        </is>
      </c>
    </row>
  </sheetData>
  <dataValidations count="1">
    <dataValidation sqref="R3:R11" showDropDown="0" showInputMessage="0" showErrorMessage="0" allowBlank="1" type="list">
      <formula1>"Verified Open,Invite Only,Needs Review"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U12"/>
  <sheetViews>
    <sheetView zoomScale="14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2" max="2"/>
    <col width="12" customWidth="1" min="3" max="3"/>
    <col width="6" customWidth="1" min="4" max="4"/>
    <col width="15" customWidth="1" min="5" max="5"/>
    <col width="12" customWidth="1" min="6" max="6"/>
    <col width="12" customWidth="1" min="7" max="7"/>
    <col width="15" customWidth="1" min="8" max="8"/>
    <col width="15" customWidth="1" min="9" max="9"/>
    <col width="18" customWidth="1" min="10" max="10"/>
    <col width="15" customWidth="1" min="11" max="11"/>
    <col width="15" customWidth="1" min="12" max="12"/>
    <col width="8" customWidth="1" min="13" max="13"/>
    <col width="40" customWidth="1" min="14" max="14"/>
    <col width="45" customWidth="1" min="15" max="15"/>
    <col width="45" customWidth="1" min="16" max="16"/>
    <col width="45" customWidth="1" min="17" max="17"/>
    <col width="18" customWidth="1" min="18" max="18"/>
    <col width="30" customWidth="1" min="19" max="19"/>
    <col width="80" customWidth="1" min="20" max="20"/>
    <col width="45" customWidth="1" min="21" max="21"/>
  </cols>
  <sheetData>
    <row r="2">
      <c r="B2" s="3" t="inlineStr">
        <is>
          <t>Foundation Name</t>
        </is>
      </c>
      <c r="C2" s="3" t="inlineStr">
        <is>
          <t>EIN</t>
        </is>
      </c>
      <c r="D2" s="3" t="inlineStr">
        <is>
          <t>State</t>
        </is>
      </c>
      <c r="E2" s="3" t="inlineStr">
        <is>
          <t>Assets</t>
        </is>
      </c>
      <c r="F2" s="3" t="inlineStr">
        <is>
          <t>Target Grants</t>
        </is>
      </c>
      <c r="G2" s="3" t="inlineStr">
        <is>
          <t>Gold Standard</t>
        </is>
      </c>
      <c r="H2" s="3" t="inlineStr">
        <is>
          <t>Total to Siblings</t>
        </is>
      </c>
      <c r="I2" s="3" t="inlineStr">
        <is>
          <t>Median Grant</t>
        </is>
      </c>
      <c r="J2" s="3" t="inlineStr">
        <is>
          <t>Grant Range</t>
        </is>
      </c>
      <c r="K2" s="3" t="inlineStr">
        <is>
          <t>States Funded</t>
        </is>
      </c>
      <c r="L2" s="3" t="inlineStr">
        <is>
          <t>Most Recent Year</t>
        </is>
      </c>
      <c r="M2" s="3" t="inlineStr">
        <is>
          <t>IRS Open</t>
        </is>
      </c>
      <c r="N2" s="3" t="inlineStr">
        <is>
          <t>Website</t>
        </is>
      </c>
      <c r="O2" s="3" t="inlineStr">
        <is>
          <t>Sample Grant 1</t>
        </is>
      </c>
      <c r="P2" s="3" t="inlineStr">
        <is>
          <t>Sample Grant 2</t>
        </is>
      </c>
      <c r="Q2" s="3" t="inlineStr">
        <is>
          <t>Sample Grant 3</t>
        </is>
      </c>
      <c r="R2" s="3" t="inlineStr">
        <is>
          <t>Verification Status</t>
        </is>
      </c>
      <c r="S2" s="3" t="inlineStr">
        <is>
          <t>Verification Notes</t>
        </is>
      </c>
      <c r="T2" s="1" t="inlineStr">
        <is>
          <t>Fit Assessment</t>
        </is>
      </c>
      <c r="U2" s="1" t="inlineStr">
        <is>
          <t>Discovery Stage</t>
        </is>
      </c>
    </row>
    <row r="3">
      <c r="B3" s="4" t="inlineStr">
        <is>
          <t>STANLEY W EKSTROM FOUNDATION INC</t>
        </is>
      </c>
      <c r="C3" s="4" t="inlineStr">
        <is>
          <t>203198081</t>
        </is>
      </c>
      <c r="D3" s="4" t="inlineStr">
        <is>
          <t>CA</t>
        </is>
      </c>
      <c r="E3" s="6" t="n">
        <v>54186830</v>
      </c>
      <c r="F3" s="4" t="n">
        <v>1</v>
      </c>
      <c r="G3" s="4" t="n">
        <v>1</v>
      </c>
      <c r="H3" s="4" t="n">
        <v>1</v>
      </c>
      <c r="I3" s="6" t="n">
        <v>11793</v>
      </c>
      <c r="J3" s="4" t="inlineStr">
        <is>
          <t>$45 - $789,000</t>
        </is>
      </c>
      <c r="K3" s="4" t="inlineStr"/>
      <c r="L3" s="4" t="n">
        <v>2020</v>
      </c>
      <c r="M3" s="4" t="inlineStr">
        <is>
          <t>TRUE</t>
        </is>
      </c>
      <c r="N3" s="4" t="inlineStr">
        <is>
          <t>WWW.SWEFOUNDATION.ORG</t>
        </is>
      </c>
      <c r="O3" s="4" t="inlineStr">
        <is>
          <t>FRIENDSHIP CIRCLE: $5,000 for TO PROVIDE ASSISTANCE AND SUPPORT TO THE FAMILIES ... (2020)</t>
        </is>
      </c>
      <c r="P3" s="4" t="inlineStr"/>
      <c r="Q3" s="4" t="inlineStr"/>
      <c r="R3" s="4" t="inlineStr">
        <is>
          <t>Verified Open</t>
        </is>
      </c>
      <c r="S3" s="4" t="inlineStr">
        <is>
          <t>California focus (Santa Ana). Written application. Children/young adults focus. $45-$200K grants.</t>
        </is>
      </c>
      <c r="T3" s="7" t="inlineStr">
        <is>
          <t>EXISTING FUNDER: Gave Friendship Circle $5K in 2020. California-based. Children/young adults focus. $45-789K grant range.</t>
        </is>
      </c>
      <c r="U3" t="inlineStr">
        <is>
          <t>Phase B - Verified existing relationship</t>
        </is>
      </c>
    </row>
    <row r="4">
      <c r="B4" s="4" t="inlineStr">
        <is>
          <t>RUSSELL J SALVATORE FOUNDATION</t>
        </is>
      </c>
      <c r="C4" s="4" t="inlineStr">
        <is>
          <t>367595997</t>
        </is>
      </c>
      <c r="D4" s="4" t="inlineStr">
        <is>
          <t>NY</t>
        </is>
      </c>
      <c r="E4" s="6" t="n">
        <v>2898166</v>
      </c>
      <c r="F4" s="4" t="n">
        <v>1</v>
      </c>
      <c r="G4" s="4" t="n">
        <v>1</v>
      </c>
      <c r="H4" s="4" t="n">
        <v>1</v>
      </c>
      <c r="I4" s="6" t="n">
        <v>50000</v>
      </c>
      <c r="J4" s="4" t="inlineStr">
        <is>
          <t>$200 - $300,000</t>
        </is>
      </c>
      <c r="K4" s="4" t="inlineStr"/>
      <c r="L4" s="4" t="n">
        <v>2018</v>
      </c>
      <c r="M4" s="4" t="inlineStr">
        <is>
          <t>TRUE</t>
        </is>
      </c>
      <c r="N4" s="4" t="inlineStr">
        <is>
          <t>https://upstategiving.com/Russell-J-Salvatore-Foundation</t>
        </is>
      </c>
      <c r="O4" s="4" t="inlineStr">
        <is>
          <t>THE FRIENDSHIP FOUNDATION: $10,000 for RECREATIONAL PROGRAMS FOR PHYSICALLY DISABLED CHIL... (2018)</t>
        </is>
      </c>
      <c r="P4" s="4" t="inlineStr"/>
      <c r="Q4" s="4" t="inlineStr"/>
      <c r="R4" s="4" t="inlineStr">
        <is>
          <t>Invite Only</t>
        </is>
      </c>
      <c r="S4" s="4" t="inlineStr">
        <is>
          <t>Buffalo NY only. Not SD eligible. No public application.</t>
        </is>
      </c>
      <c r="T4" s="9" t="inlineStr">
        <is>
          <t>GEOGRAPHIC DISQUALIFICATION: Buffalo NY only. Gave to "The Friendship Foundation" in Buffalo, NOT Friendship Circle SD.</t>
        </is>
      </c>
      <c r="U4" t="inlineStr">
        <is>
          <t>Phase A FAILURE - Name similarity caused false match</t>
        </is>
      </c>
    </row>
    <row r="5">
      <c r="B5" s="4" t="inlineStr">
        <is>
          <t>OAK TREE CHARITABLE FOUNDATION</t>
        </is>
      </c>
      <c r="C5" s="4" t="inlineStr">
        <is>
          <t>954506950</t>
        </is>
      </c>
      <c r="D5" s="4" t="inlineStr">
        <is>
          <t>CA</t>
        </is>
      </c>
      <c r="E5" s="6" t="n">
        <v>7453894</v>
      </c>
      <c r="F5" s="4" t="n">
        <v>1</v>
      </c>
      <c r="G5" s="4" t="n">
        <v>1</v>
      </c>
      <c r="H5" s="4" t="n">
        <v>1</v>
      </c>
      <c r="I5" s="6" t="n">
        <v>5000</v>
      </c>
      <c r="J5" s="4" t="inlineStr">
        <is>
          <t>$1,000 - $150,000</t>
        </is>
      </c>
      <c r="K5" s="4" t="inlineStr"/>
      <c r="L5" s="4" t="n">
        <v>2018</v>
      </c>
      <c r="M5" s="4" t="inlineStr">
        <is>
          <t>TRUE</t>
        </is>
      </c>
      <c r="N5" s="4" t="inlineStr">
        <is>
          <t>N/A</t>
        </is>
      </c>
      <c r="O5" s="4" t="inlineStr">
        <is>
          <t>SUNFLOWER HILL: $2,000 for SUPPORT FOR SPECIAL NEEDS INDIVIDUALS... (2018)</t>
        </is>
      </c>
      <c r="P5" s="4" t="inlineStr"/>
      <c r="Q5" s="4" t="inlineStr"/>
      <c r="R5" s="4" t="inlineStr">
        <is>
          <t>Invite Only</t>
        </is>
      </c>
      <c r="S5" s="4" t="inlineStr">
        <is>
          <t>Horse racing/equine focus only. Not disability services. Not applicable.</t>
        </is>
      </c>
      <c r="T5" s="9" t="inlineStr">
        <is>
          <t>WRONG FOCUS: Equine/horse racing focus only. Grant to Sunflower Hill was for equine therapy. FC does not have equine programs.</t>
        </is>
      </c>
      <c r="U5" t="inlineStr">
        <is>
          <t>Phase B - Match review found focus mismatch</t>
        </is>
      </c>
    </row>
    <row r="6">
      <c r="B6" s="4" t="inlineStr">
        <is>
          <t>Anschutz Family Foundation</t>
        </is>
      </c>
      <c r="C6" s="4" t="inlineStr">
        <is>
          <t>742132676</t>
        </is>
      </c>
      <c r="D6" s="4" t="inlineStr">
        <is>
          <t>CO</t>
        </is>
      </c>
      <c r="E6" s="6" t="n">
        <v>45765575</v>
      </c>
      <c r="F6" s="4" t="n">
        <v>2</v>
      </c>
      <c r="G6" s="4" t="n">
        <v>0</v>
      </c>
      <c r="H6" s="4" t="n">
        <v>3</v>
      </c>
      <c r="I6" s="6" t="n">
        <v>7500</v>
      </c>
      <c r="J6" s="4" t="inlineStr">
        <is>
          <t>$500 - $30,000</t>
        </is>
      </c>
      <c r="K6" s="4" t="inlineStr"/>
      <c r="L6" s="4" t="n">
        <v>2022</v>
      </c>
      <c r="M6" s="4" t="inlineStr">
        <is>
          <t>TRUE</t>
        </is>
      </c>
      <c r="N6" s="4" t="inlineStr">
        <is>
          <t>www.anschutzfamilyfoundation.org</t>
        </is>
      </c>
      <c r="O6" s="4" t="inlineStr">
        <is>
          <t>BRECKENRIDGE OUTDOOR EDUCATION CENTER: $7,500 for General operating support for accessible and affor... (2020)</t>
        </is>
      </c>
      <c r="P6" s="4" t="inlineStr">
        <is>
          <t>BRECKENRIDGE OUTDOOR EDUCATION CENTER: $7,500 for General operating support for accessible and affor... (2021)</t>
        </is>
      </c>
      <c r="Q6" s="4" t="inlineStr"/>
      <c r="R6" s="4" t="inlineStr">
        <is>
          <t>Verified Open</t>
        </is>
      </c>
      <c r="S6" s="4" t="inlineStr">
        <is>
          <t>Colorado ONLY. Not SD eligible. Disability is a focus area. Jan 15 &amp; Jul 1.</t>
        </is>
      </c>
      <c r="T6" s="9" t="inlineStr">
        <is>
          <t>GEOGRAPHIC DISQUALIFICATION: Colorado only. Cannot fund California. Has senior focus but WRONG STATE.</t>
        </is>
      </c>
      <c r="U6" t="inlineStr">
        <is>
          <t>Phase A FAILURE - Should have been filtered by geo_eligible</t>
        </is>
      </c>
    </row>
    <row r="7">
      <c r="B7" s="4" t="inlineStr">
        <is>
          <t>RICHARD REED FOUNDATION</t>
        </is>
      </c>
      <c r="C7" s="4" t="inlineStr">
        <is>
          <t>473818599</t>
        </is>
      </c>
      <c r="D7" s="4" t="inlineStr">
        <is>
          <t>AZ</t>
        </is>
      </c>
      <c r="E7" s="6" t="n">
        <v>8744680</v>
      </c>
      <c r="F7" s="4" t="n">
        <v>2</v>
      </c>
      <c r="G7" s="4" t="n">
        <v>0</v>
      </c>
      <c r="H7" s="4" t="n">
        <v>2</v>
      </c>
      <c r="I7" s="6" t="n">
        <v>10000</v>
      </c>
      <c r="J7" s="4" t="inlineStr">
        <is>
          <t>$500 - $110,606</t>
        </is>
      </c>
      <c r="K7" s="4" t="inlineStr"/>
      <c r="L7" s="4" t="n">
        <v>2023</v>
      </c>
      <c r="M7" s="4" t="inlineStr">
        <is>
          <t>TRUE</t>
        </is>
      </c>
      <c r="N7" s="4" t="inlineStr">
        <is>
          <t>WWW.RICHARDREEDFOUNDATION.ORG</t>
        </is>
      </c>
      <c r="O7" s="4" t="inlineStr">
        <is>
          <t>BRECKENRIDGE OUTDOOR EDUCATION CENTER: $21,500 for OUTDOOR RECREATION FOR PEOPLE WITH SPECIAL NEEDS &amp;... (2023)</t>
        </is>
      </c>
      <c r="P7" s="4" t="inlineStr">
        <is>
          <t>BRECKENRIDGE OUTDOOR EDUCATION CENTER: $20,000 for OUTDOOR RECREATION FOR PEOPLE WITH SPECIAL NEEDS &amp;... (2022)</t>
        </is>
      </c>
      <c r="Q7" s="4" t="inlineStr"/>
      <c r="R7" s="4" t="inlineStr">
        <is>
          <t>Verified Open</t>
        </is>
      </c>
      <c r="S7" s="4" t="inlineStr">
        <is>
          <t>Colorado &amp; N. California ONLY. Not SD eligible. LOI during Jan-Mar, Jun-Aug windows.</t>
        </is>
      </c>
      <c r="T7" s="9" t="inlineStr">
        <is>
          <t>GEOGRAPHIC DISQUALIFICATION: Colorado &amp; Northern California only. San Diego is Southern California - explicitly excluded.</t>
        </is>
      </c>
      <c r="U7" t="inlineStr">
        <is>
          <t>Phase A FAILURE - Should have been filtered by geo_eligible</t>
        </is>
      </c>
    </row>
    <row r="8">
      <c r="B8" s="4" t="inlineStr">
        <is>
          <t>CAROLYN SMITH FOUNDATION</t>
        </is>
      </c>
      <c r="C8" s="4" t="inlineStr">
        <is>
          <t>814706113</t>
        </is>
      </c>
      <c r="D8" s="4" t="inlineStr">
        <is>
          <t>TN</t>
        </is>
      </c>
      <c r="E8" s="6" t="n">
        <v>662225</v>
      </c>
      <c r="F8" s="4" t="n">
        <v>2</v>
      </c>
      <c r="G8" s="4" t="n">
        <v>0</v>
      </c>
      <c r="H8" s="4" t="n">
        <v>2</v>
      </c>
      <c r="I8" s="6" t="n">
        <v>10000</v>
      </c>
      <c r="J8" s="4" t="inlineStr">
        <is>
          <t>$1,000 - $300,000</t>
        </is>
      </c>
      <c r="K8" s="4" t="inlineStr"/>
      <c r="L8" s="4" t="n">
        <v>2023</v>
      </c>
      <c r="M8" s="4" t="inlineStr">
        <is>
          <t>TRUE</t>
        </is>
      </c>
      <c r="N8" s="4" t="inlineStr">
        <is>
          <t>N/A</t>
        </is>
      </c>
      <c r="O8" s="4" t="inlineStr">
        <is>
          <t>FRIENDS LIFE COMMUNITY: $2,500 for SUPPORT TO DEVELOPMENTAL DISABLED... (2022)</t>
        </is>
      </c>
      <c r="P8" s="4" t="inlineStr">
        <is>
          <t>FRIENDS LIFE COMMUNITY: $2,500 for SUPPORT TO DEVELOPMENTAL DISABLED... (2023)</t>
        </is>
      </c>
      <c r="Q8" s="4" t="inlineStr"/>
      <c r="R8" s="4" t="inlineStr">
        <is>
          <t>Verified Open</t>
        </is>
      </c>
      <c r="S8" s="4" t="inlineStr">
        <is>
          <t>Middle Tennessee only. Not SD eligible. Online inquiry form.</t>
        </is>
      </c>
      <c r="T8" s="9" t="inlineStr">
        <is>
          <t>GEOGRAPHIC DISQUALIFICATION: Middle Tennessee only. Cannot fund California. Has disability focus but WRONG STATE.</t>
        </is>
      </c>
      <c r="U8" t="inlineStr">
        <is>
          <t>Phase A FAILURE - Should have been filtered by geo_eligible</t>
        </is>
      </c>
    </row>
    <row r="9">
      <c r="B9" s="4" t="inlineStr">
        <is>
          <t>Umpqua Bank Charitable Foundation</t>
        </is>
      </c>
      <c r="C9" s="4" t="inlineStr">
        <is>
          <t>471247608</t>
        </is>
      </c>
      <c r="D9" s="4" t="inlineStr">
        <is>
          <t>OR</t>
        </is>
      </c>
      <c r="E9" s="6" t="n">
        <v>16830197</v>
      </c>
      <c r="F9" s="4" t="n">
        <v>1</v>
      </c>
      <c r="G9" s="4" t="n">
        <v>0</v>
      </c>
      <c r="H9" s="4" t="n">
        <v>1</v>
      </c>
      <c r="I9" s="6" t="n">
        <v>5000</v>
      </c>
      <c r="J9" s="4" t="inlineStr">
        <is>
          <t>$2,000 - $1,000,000</t>
        </is>
      </c>
      <c r="K9" s="4" t="inlineStr"/>
      <c r="L9" s="4" t="n">
        <v>2024</v>
      </c>
      <c r="M9" s="4" t="inlineStr">
        <is>
          <t>TRUE</t>
        </is>
      </c>
      <c r="N9" s="4" t="inlineStr">
        <is>
          <t>www.umpquabank.com/community</t>
        </is>
      </c>
      <c r="O9" s="4" t="inlineStr">
        <is>
          <t>CIVITAN FOUDATION INC: $6,000 for Workforce Development and Inclusion for Developmen... (2024)</t>
        </is>
      </c>
      <c r="P9" s="4" t="inlineStr"/>
      <c r="Q9" s="4" t="inlineStr"/>
      <c r="R9" s="4" t="inlineStr">
        <is>
          <t>Needs Review</t>
        </is>
      </c>
      <c r="S9" s="4" t="inlineStr">
        <is>
          <t>Where Umpqua Bank has locations. Verify SD coverage. $1-10K grants. Spring/Summer/Fall cycles.</t>
        </is>
      </c>
      <c r="T9" s="8" t="inlineStr">
        <is>
          <t>UNCERTAIN FIT: Funds where Umpqua Bank has branches. Need to verify San Diego coverage. Has disability/developmental focus.</t>
        </is>
      </c>
      <c r="U9" t="inlineStr">
        <is>
          <t>Phase B - Geographic verification needed</t>
        </is>
      </c>
    </row>
    <row r="10">
      <c r="B10" s="4" t="inlineStr">
        <is>
          <t>JUNE &amp; JULIAN FOSS FOUNDATION</t>
        </is>
      </c>
      <c r="C10" s="4" t="inlineStr">
        <is>
          <t>911798171</t>
        </is>
      </c>
      <c r="D10" s="4" t="inlineStr">
        <is>
          <t>WA</t>
        </is>
      </c>
      <c r="E10" s="6" t="n">
        <v>4630836</v>
      </c>
      <c r="F10" s="4" t="n">
        <v>1</v>
      </c>
      <c r="G10" s="4" t="n">
        <v>0</v>
      </c>
      <c r="H10" s="4" t="n">
        <v>1</v>
      </c>
      <c r="I10" s="6" t="n">
        <v>5000</v>
      </c>
      <c r="J10" s="4" t="inlineStr">
        <is>
          <t>$100 - $36,000</t>
        </is>
      </c>
      <c r="K10" s="4" t="inlineStr"/>
      <c r="L10" s="4" t="n">
        <v>2020</v>
      </c>
      <c r="M10" s="4" t="inlineStr">
        <is>
          <t>TRUE</t>
        </is>
      </c>
      <c r="N10" s="4" t="inlineStr">
        <is>
          <t>FOSS-FOUNDATION.ORG</t>
        </is>
      </c>
      <c r="O10" s="4" t="inlineStr">
        <is>
          <t>CIVITAN FOUDATION INC: $5,000 for CAMP CIVITAN SUPPORT FOR LOW-INCOME ARIZONA YOUTH ... (2020)</t>
        </is>
      </c>
      <c r="P10" s="4" t="inlineStr"/>
      <c r="Q10" s="4" t="inlineStr"/>
      <c r="R10" s="4" t="inlineStr">
        <is>
          <t>Verified Open</t>
        </is>
      </c>
      <c r="S10" s="4" t="inlineStr">
        <is>
          <t>Seattle/Portland/SF Bay/Phoenix/Miami only. Not SD eligible. HAS disability focus. Apr 1-May 31.</t>
        </is>
      </c>
      <c r="T10" s="9" t="inlineStr">
        <is>
          <t>GEOGRAPHIC DISQUALIFICATION: Seattle/Portland/SF Bay/Phoenix/Miami only. San Diego NOT included. Has disability focus but WRONG CITY.</t>
        </is>
      </c>
      <c r="U10" t="inlineStr">
        <is>
          <t>Phase A FAILURE - City list does not include San Diego</t>
        </is>
      </c>
    </row>
    <row r="11">
      <c r="B11" s="4" t="inlineStr">
        <is>
          <t>DENTON FOUNDATION INC</t>
        </is>
      </c>
      <c r="C11" s="4" t="inlineStr">
        <is>
          <t>205779908</t>
        </is>
      </c>
      <c r="D11" s="4" t="inlineStr">
        <is>
          <t>WA</t>
        </is>
      </c>
      <c r="E11" s="6" t="n">
        <v>589</v>
      </c>
      <c r="F11" s="4" t="n">
        <v>1</v>
      </c>
      <c r="G11" s="4" t="n">
        <v>0</v>
      </c>
      <c r="H11" s="4" t="n">
        <v>1</v>
      </c>
      <c r="I11" s="6" t="n">
        <v>1000</v>
      </c>
      <c r="J11" s="4" t="inlineStr">
        <is>
          <t>$50 - $59,113</t>
        </is>
      </c>
      <c r="K11" s="4" t="inlineStr"/>
      <c r="L11" s="4" t="n">
        <v>2020</v>
      </c>
      <c r="M11" s="4" t="inlineStr">
        <is>
          <t>TRUE</t>
        </is>
      </c>
      <c r="N11" s="4" t="inlineStr">
        <is>
          <t>https://dentonfoundationrepair.com</t>
        </is>
      </c>
      <c r="O11" s="4" t="inlineStr">
        <is>
          <t>PROJECT ID INC: $1,000 for PERSONS WITH DISABILITIES ASSISTANCE PROGRAM... (2020)</t>
        </is>
      </c>
      <c r="P11" s="4" t="inlineStr"/>
      <c r="Q11" s="4" t="inlineStr"/>
      <c r="R11" s="4" t="inlineStr">
        <is>
          <t>Needs Review</t>
        </is>
      </c>
      <c r="S11" s="4" t="inlineStr">
        <is>
          <t>Spokane WA focus. Very small ($589 assets). No public application.</t>
        </is>
      </c>
      <c r="T11" s="9" t="inlineStr">
        <is>
          <t>REMOVE: Spokane WA only. Foundation essentially defunct with only $589 in assets.</t>
        </is>
      </c>
      <c r="U11" t="inlineStr">
        <is>
          <t>Phase A FAILURE &amp; Phase B verified defunct</t>
        </is>
      </c>
    </row>
    <row r="12">
      <c r="B12" s="4" t="inlineStr">
        <is>
          <t>THE GLORIA ESTEFAN FOUNDATION INC</t>
        </is>
      </c>
      <c r="C12" s="4" t="inlineStr">
        <is>
          <t>650466117</t>
        </is>
      </c>
      <c r="D12" s="4" t="inlineStr">
        <is>
          <t>FL</t>
        </is>
      </c>
      <c r="E12" s="6" t="n">
        <v>489856</v>
      </c>
      <c r="F12" s="4" t="n">
        <v>1</v>
      </c>
      <c r="G12" s="4" t="n">
        <v>0</v>
      </c>
      <c r="H12" s="4" t="n">
        <v>1</v>
      </c>
      <c r="I12" s="6" t="n">
        <v>10000</v>
      </c>
      <c r="J12" s="4" t="inlineStr">
        <is>
          <t>$361 - $125,000</t>
        </is>
      </c>
      <c r="K12" s="4" t="inlineStr"/>
      <c r="L12" s="4" t="n">
        <v>2023</v>
      </c>
      <c r="M12" s="4" t="inlineStr">
        <is>
          <t>TRUE</t>
        </is>
      </c>
      <c r="N12" s="4" t="inlineStr">
        <is>
          <t>http://www.estefan.com/</t>
        </is>
      </c>
      <c r="O12" s="4" t="inlineStr">
        <is>
          <t>FUNDACION TELETON USA: $10,000 for PROVIDE REHABILITATION SERVICES TO CHILDREN WITH D... (2023)</t>
        </is>
      </c>
      <c r="P12" s="4" t="inlineStr"/>
      <c r="Q12" s="4" t="inlineStr"/>
      <c r="R12" s="4" t="inlineStr">
        <is>
          <t>Verified Open</t>
        </is>
      </c>
      <c r="S12" s="4" t="inlineStr">
        <is>
          <t>National reach incl CA. Written request. Health/education focus. Avg $10,889.</t>
        </is>
      </c>
      <c r="T12" s="8" t="inlineStr">
        <is>
          <t>MODERATE FIT: National reach including CA. Has funded children with disabilities. Written request process. Small grants (~$10K).</t>
        </is>
      </c>
      <c r="U12" t="inlineStr">
        <is>
          <t>Phase B - Verified</t>
        </is>
      </c>
    </row>
  </sheetData>
  <dataValidations count="1">
    <dataValidation sqref="R3:R12" showDropDown="0" showInputMessage="0" showErrorMessage="0" allowBlank="1" type="list">
      <formula1>"Verified Open,Invite Only,Needs Review"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131"/>
  <sheetViews>
    <sheetView zoomScale="14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35" customWidth="1" min="4" max="4"/>
    <col width="8" customWidth="1" min="5" max="5"/>
    <col width="15" customWidth="1" min="6" max="6"/>
    <col width="60" customWidth="1" min="7" max="7"/>
    <col width="8" customWidth="1" min="8" max="8"/>
  </cols>
  <sheetData>
    <row r="2">
      <c r="B2" s="1" t="inlineStr">
        <is>
          <t>Client</t>
        </is>
      </c>
      <c r="C2" s="1" t="inlineStr">
        <is>
          <t>Foundation</t>
        </is>
      </c>
      <c r="D2" s="1" t="inlineStr">
        <is>
          <t>Recipient</t>
        </is>
      </c>
      <c r="E2" s="1" t="inlineStr">
        <is>
          <t>State</t>
        </is>
      </c>
      <c r="F2" s="1" t="inlineStr">
        <is>
          <t>Amount</t>
        </is>
      </c>
      <c r="G2" s="1" t="inlineStr">
        <is>
          <t>Purpose</t>
        </is>
      </c>
      <c r="H2" s="1" t="inlineStr">
        <is>
          <t>Year</t>
        </is>
      </c>
    </row>
    <row r="3">
      <c r="B3" s="4" t="inlineStr">
        <is>
          <t>RHF</t>
        </is>
      </c>
      <c r="C3" s="4" t="inlineStr">
        <is>
          <t>MEYER MEMORIAL TRUST</t>
        </is>
      </c>
      <c r="D3" s="4" t="inlineStr">
        <is>
          <t>NORTHWEST HOUSING ALTERNATIVES INC</t>
        </is>
      </c>
      <c r="E3" s="4" t="inlineStr">
        <is>
          <t>OR</t>
        </is>
      </c>
      <c r="F3" s="6" t="n">
        <v>60000</v>
      </c>
      <c r="G3" s="4" t="inlineStr">
        <is>
          <t>For support of wrap-around services and community-building programs meant to inc</t>
        </is>
      </c>
      <c r="H3" s="4" t="n">
        <v>2018</v>
      </c>
    </row>
    <row r="4">
      <c r="B4" s="4" t="inlineStr">
        <is>
          <t>RHF</t>
        </is>
      </c>
      <c r="C4" s="4" t="inlineStr">
        <is>
          <t>MEYER MEMORIAL TRUST</t>
        </is>
      </c>
      <c r="D4" s="4" t="inlineStr">
        <is>
          <t>NORTHWEST HOUSING ALTERNATIVES INC</t>
        </is>
      </c>
      <c r="E4" s="4" t="inlineStr">
        <is>
          <t>OR</t>
        </is>
      </c>
      <c r="F4" s="6" t="n">
        <v>40000</v>
      </c>
      <c r="G4" s="4" t="inlineStr">
        <is>
          <t>For support of wrap-around services and community-building programs meant to inc</t>
        </is>
      </c>
      <c r="H4" s="4" t="n">
        <v>2019</v>
      </c>
    </row>
    <row r="5">
      <c r="B5" s="4" t="inlineStr">
        <is>
          <t>RHF</t>
        </is>
      </c>
      <c r="C5" s="4" t="inlineStr">
        <is>
          <t>MEYER MEMORIAL TRUST</t>
        </is>
      </c>
      <c r="D5" s="4" t="inlineStr">
        <is>
          <t>NORTHWEST HOUSING ALTERNATIVES INC</t>
        </is>
      </c>
      <c r="E5" s="4" t="inlineStr">
        <is>
          <t>OR</t>
        </is>
      </c>
      <c r="F5" s="6" t="n">
        <v>175000</v>
      </c>
      <c r="G5" s="4" t="inlineStr">
        <is>
          <t xml:space="preserve">To support the urgent relocation of seniors in affordable housing, with a focus </t>
        </is>
      </c>
      <c r="H5" s="4" t="n">
        <v>2021</v>
      </c>
    </row>
    <row r="6">
      <c r="B6" s="4" t="inlineStr">
        <is>
          <t>RHF</t>
        </is>
      </c>
      <c r="C6" s="4" t="inlineStr">
        <is>
          <t>MEYER MEMORIAL TRUST</t>
        </is>
      </c>
      <c r="D6" s="4" t="inlineStr">
        <is>
          <t>NORTHWEST HOUSING ALTERNATIVES INC</t>
        </is>
      </c>
      <c r="E6" s="4" t="inlineStr">
        <is>
          <t>OR</t>
        </is>
      </c>
      <c r="F6" s="6" t="n">
        <v>100000</v>
      </c>
      <c r="G6" s="4" t="inlineStr">
        <is>
          <t>For general operating support of this organization which provides affordable hou</t>
        </is>
      </c>
      <c r="H6" s="4" t="n">
        <v>2022</v>
      </c>
    </row>
    <row r="7">
      <c r="B7" s="4" t="inlineStr">
        <is>
          <t>RHF</t>
        </is>
      </c>
      <c r="C7" s="4" t="inlineStr">
        <is>
          <t>MEYER MEMORIAL TRUST</t>
        </is>
      </c>
      <c r="D7" s="4" t="inlineStr">
        <is>
          <t>BIENESTAR INC</t>
        </is>
      </c>
      <c r="E7" s="4" t="inlineStr">
        <is>
          <t>OR</t>
        </is>
      </c>
      <c r="F7" s="6" t="n">
        <v>88000</v>
      </c>
      <c r="G7" s="4" t="inlineStr">
        <is>
          <t>To help the nonprofit preserve and expand the number of quality, affordable hous</t>
        </is>
      </c>
      <c r="H7" s="4" t="n">
        <v>2018</v>
      </c>
    </row>
    <row r="8">
      <c r="B8" s="4" t="inlineStr">
        <is>
          <t>RHF</t>
        </is>
      </c>
      <c r="C8" s="4" t="inlineStr">
        <is>
          <t>CONRAD N HILTON FOUNDATION</t>
        </is>
      </c>
      <c r="D8" s="4" t="inlineStr">
        <is>
          <t>BRILLIANT CORNERS</t>
        </is>
      </c>
      <c r="E8" s="4" t="inlineStr">
        <is>
          <t>CA</t>
        </is>
      </c>
      <c r="F8" s="6" t="n">
        <v>1235000</v>
      </c>
      <c r="G8" s="4" t="inlineStr">
        <is>
          <t>TO SUPPORT A PARTNERSHIP WITH LOS ANGELES COUNTY'S DEPARTMENT OF HEALTH SERVICES</t>
        </is>
      </c>
      <c r="H8" s="4" t="n">
        <v>2023</v>
      </c>
    </row>
    <row r="9">
      <c r="B9" s="4" t="inlineStr">
        <is>
          <t>RHF</t>
        </is>
      </c>
      <c r="C9" s="4" t="inlineStr">
        <is>
          <t>CONRAD N HILTON FOUNDATION</t>
        </is>
      </c>
      <c r="D9" s="4" t="inlineStr">
        <is>
          <t>DECRO CORPORATION</t>
        </is>
      </c>
      <c r="E9" s="4" t="inlineStr">
        <is>
          <t>CA</t>
        </is>
      </c>
      <c r="F9" s="6" t="n">
        <v>300000</v>
      </c>
      <c r="G9" s="4" t="inlineStr">
        <is>
          <t>TO SUPPORT THE DEVELOPMENT OF 24 UNITS OF SUPPORTIVE HOUSING UTILIZING MODULAR C</t>
        </is>
      </c>
      <c r="H9" s="4" t="n">
        <v>2022</v>
      </c>
    </row>
    <row r="10">
      <c r="B10" s="4" t="inlineStr">
        <is>
          <t>RHF</t>
        </is>
      </c>
      <c r="C10" s="4" t="inlineStr">
        <is>
          <t>THE AHMANSON FOUNDATION</t>
        </is>
      </c>
      <c r="D10" s="4" t="inlineStr">
        <is>
          <t>ABODE COMMUNITIES</t>
        </is>
      </c>
      <c r="E10" s="4" t="inlineStr">
        <is>
          <t>CA</t>
        </is>
      </c>
      <c r="F10" s="6" t="n">
        <v>418000</v>
      </c>
      <c r="G10" s="4" t="inlineStr">
        <is>
          <t>FOR BEYOND HOMES VIRTUAL EXPANSION AND REMOTE OPERATIONS FOR AFFORDABLE HOUSING</t>
        </is>
      </c>
      <c r="H10" s="4" t="n">
        <v>2020</v>
      </c>
    </row>
    <row r="11">
      <c r="B11" s="4" t="inlineStr">
        <is>
          <t>RHF</t>
        </is>
      </c>
      <c r="C11" s="4" t="inlineStr">
        <is>
          <t>THE LOTUS US FOUNDATION INC</t>
        </is>
      </c>
      <c r="D11" s="4" t="inlineStr">
        <is>
          <t>ALEXANDRIA HOUSE</t>
        </is>
      </c>
      <c r="E11" s="4" t="inlineStr">
        <is>
          <t>CA</t>
        </is>
      </c>
      <c r="F11" s="6" t="n">
        <v>10000</v>
      </c>
      <c r="G11" s="4" t="inlineStr">
        <is>
          <t xml:space="preserve">TO SUPPORT THEIR MISSION OF PROVIDING SAFE AND SUPPORTIVE HOUSING FOR WOMEN AND </t>
        </is>
      </c>
      <c r="H11" s="4" t="n">
        <v>2020</v>
      </c>
    </row>
    <row r="12">
      <c r="B12" s="4" t="inlineStr">
        <is>
          <t>RHF</t>
        </is>
      </c>
      <c r="C12" s="4" t="inlineStr">
        <is>
          <t>Banc of California Charitable Foundation</t>
        </is>
      </c>
      <c r="D12" s="4" t="inlineStr">
        <is>
          <t>AMERICAN FAMILY HOUSING</t>
        </is>
      </c>
      <c r="E12" s="4" t="inlineStr">
        <is>
          <t>CA</t>
        </is>
      </c>
      <c r="F12" s="6" t="n">
        <v>2500</v>
      </c>
      <c r="G12" s="4" t="inlineStr">
        <is>
          <t>THE PURPOSE OF THIS GRANT IS TO SUPPORT AFFORDABLE HOUSING DEVELOPMENT PROGRAMS</t>
        </is>
      </c>
      <c r="H12" s="4" t="n">
        <v>2022</v>
      </c>
    </row>
    <row r="13">
      <c r="B13" s="4" t="inlineStr">
        <is>
          <t>RHF</t>
        </is>
      </c>
      <c r="C13" s="4" t="inlineStr">
        <is>
          <t>THE COLLINS FOUNDATION</t>
        </is>
      </c>
      <c r="D13" s="4" t="inlineStr">
        <is>
          <t>BIENESTAR INC</t>
        </is>
      </c>
      <c r="E13" s="4" t="inlineStr">
        <is>
          <t>OR</t>
        </is>
      </c>
      <c r="F13" s="6" t="n">
        <v>50000</v>
      </c>
      <c r="G13" s="4" t="inlineStr">
        <is>
          <t>SUPPORT OPERATIONS AND AFFORDABLE, SUPPORTIVE HOUSING AND LEADERSHIP DEVELOPMENT</t>
        </is>
      </c>
      <c r="H13" s="4" t="n">
        <v>2020</v>
      </c>
    </row>
    <row r="14">
      <c r="B14" s="4" t="inlineStr">
        <is>
          <t>RHF</t>
        </is>
      </c>
      <c r="C14" s="4" t="inlineStr">
        <is>
          <t>THE COLLINS FOUNDATION</t>
        </is>
      </c>
      <c r="D14" s="4" t="inlineStr">
        <is>
          <t>BIENESTAR INC</t>
        </is>
      </c>
      <c r="E14" s="4" t="inlineStr">
        <is>
          <t>OR</t>
        </is>
      </c>
      <c r="F14" s="6" t="n">
        <v>30000</v>
      </c>
      <c r="G14" s="4" t="inlineStr">
        <is>
          <t>SUPPORT OPERATIONS AND AFFORDABLE, SUPPORTIVE HOUSING AND LEADERSHIP DEVELOPMENT</t>
        </is>
      </c>
      <c r="H14" s="4" t="n">
        <v>2021</v>
      </c>
    </row>
    <row r="15">
      <c r="B15" s="4" t="inlineStr">
        <is>
          <t>RHF</t>
        </is>
      </c>
      <c r="C15" s="4" t="inlineStr">
        <is>
          <t>THE COLLINS FOUNDATION</t>
        </is>
      </c>
      <c r="D15" s="4" t="inlineStr">
        <is>
          <t>NORTHWEST HOUSING ALTERNATIVES INC</t>
        </is>
      </c>
      <c r="E15" s="4" t="inlineStr">
        <is>
          <t>OR</t>
        </is>
      </c>
      <c r="F15" s="6" t="n">
        <v>50000</v>
      </c>
      <c r="G15" s="4" t="inlineStr">
        <is>
          <t>PROVIDE ONSITE EDUCATIONAL SUPPORTS FOR MIDDLE AND HIGH SCHOOL STUDENTS FROM IMM</t>
        </is>
      </c>
      <c r="H15" s="4" t="n">
        <v>2021</v>
      </c>
    </row>
    <row r="16">
      <c r="B16" s="4" t="inlineStr">
        <is>
          <t>RHF</t>
        </is>
      </c>
      <c r="C16" s="4" t="inlineStr">
        <is>
          <t>THE COLLINS FOUNDATION</t>
        </is>
      </c>
      <c r="D16" s="4" t="inlineStr">
        <is>
          <t>BIENESTAR INC</t>
        </is>
      </c>
      <c r="E16" s="4" t="inlineStr">
        <is>
          <t>OR</t>
        </is>
      </c>
      <c r="F16" s="6" t="n">
        <v>40000</v>
      </c>
      <c r="G16" s="4" t="inlineStr">
        <is>
          <t>HIRE A HOUSING DEVELOPMENT COORDINATOR AND PART-TIME OFFICE MANAGER, AND PROVIDE</t>
        </is>
      </c>
      <c r="H16" s="4" t="n">
        <v>2019</v>
      </c>
    </row>
    <row r="17">
      <c r="B17" s="4" t="inlineStr">
        <is>
          <t>RHF</t>
        </is>
      </c>
      <c r="C17" s="4" t="inlineStr">
        <is>
          <t>THE COLLINS FOUNDATION</t>
        </is>
      </c>
      <c r="D17" s="4" t="inlineStr">
        <is>
          <t>BIENESTAR INC</t>
        </is>
      </c>
      <c r="E17" s="4" t="inlineStr">
        <is>
          <t>OR</t>
        </is>
      </c>
      <c r="F17" s="6" t="n">
        <v>60000</v>
      </c>
      <c r="G17" s="4" t="inlineStr">
        <is>
          <t>HIRE A HOUSING DEVELOPMENT COORDINATOR AND PART-TIME OFFICE MANAGER, AND PROVIDE</t>
        </is>
      </c>
      <c r="H17" s="4" t="n">
        <v>2018</v>
      </c>
    </row>
    <row r="18">
      <c r="B18" s="4" t="inlineStr">
        <is>
          <t>RHF</t>
        </is>
      </c>
      <c r="C18" s="4" t="inlineStr">
        <is>
          <t>KAREN E HENRY FOUNDATION FOR LONG-TERM</t>
        </is>
      </c>
      <c r="D18" s="4" t="inlineStr">
        <is>
          <t>ACCESSIBLE SPACE INC</t>
        </is>
      </c>
      <c r="E18" s="4" t="inlineStr">
        <is>
          <t>TX</t>
        </is>
      </c>
      <c r="F18" s="6" t="n">
        <v>57540</v>
      </c>
      <c r="G18" s="4" t="inlineStr">
        <is>
          <t>PAYMENTS FOR ASSISTANCE IN BUILDING SUPPORTIVE HOUSING FOR DISABLED INDIVIDUALS.</t>
        </is>
      </c>
      <c r="H18" s="4" t="n">
        <v>2023</v>
      </c>
    </row>
    <row r="19">
      <c r="B19" s="4" t="inlineStr">
        <is>
          <t>RHF</t>
        </is>
      </c>
      <c r="C19" s="4" t="inlineStr">
        <is>
          <t>KAREN E HENRY FOUNDATION FOR LONG-TERM</t>
        </is>
      </c>
      <c r="D19" s="4" t="inlineStr">
        <is>
          <t>ACCESSIBLE SPACE INC</t>
        </is>
      </c>
      <c r="E19" s="4" t="inlineStr">
        <is>
          <t>TX</t>
        </is>
      </c>
      <c r="F19" s="6" t="n">
        <v>28099</v>
      </c>
      <c r="G19" s="4" t="inlineStr">
        <is>
          <t>PAYMENTS FOR ASSISTANCE IN BUILDING SUPPORTIVE HOUSING FOR DISABLED INDIVIDUALS.</t>
        </is>
      </c>
      <c r="H19" s="4" t="n">
        <v>2022</v>
      </c>
    </row>
    <row r="20">
      <c r="B20" s="4" t="inlineStr">
        <is>
          <t>RHF</t>
        </is>
      </c>
      <c r="C20" s="4" t="inlineStr">
        <is>
          <t>KAREN E HENRY FOUNDATION FOR LONG-TERM</t>
        </is>
      </c>
      <c r="D20" s="4" t="inlineStr">
        <is>
          <t>ACCESSIBLE SPACE INC</t>
        </is>
      </c>
      <c r="E20" s="4" t="inlineStr">
        <is>
          <t>TX</t>
        </is>
      </c>
      <c r="F20" s="6" t="n">
        <v>27373</v>
      </c>
      <c r="G20" s="4" t="inlineStr">
        <is>
          <t>PAYMENTS FOR ASSISTANCE IN BUILDING SUPPORTIVE HOUSING FOR DISABLED INDIVIDUALS.</t>
        </is>
      </c>
      <c r="H20" s="4" t="n">
        <v>2019</v>
      </c>
    </row>
    <row r="21">
      <c r="B21" s="4" t="inlineStr">
        <is>
          <t>RHF</t>
        </is>
      </c>
      <c r="C21" s="4" t="inlineStr">
        <is>
          <t>KAREN E HENRY FOUNDATION FOR LONG-TERM</t>
        </is>
      </c>
      <c r="D21" s="4" t="inlineStr">
        <is>
          <t>ACCESSIBLE SPACE INC</t>
        </is>
      </c>
      <c r="E21" s="4" t="inlineStr">
        <is>
          <t>TX</t>
        </is>
      </c>
      <c r="F21" s="6" t="n">
        <v>27000</v>
      </c>
      <c r="G21" s="4" t="inlineStr">
        <is>
          <t>PAYMENTS FOR ASSISTANCE IN BUILDING SUPPORTIVE HOUSING FOR DISABLED INDIVIDUALS.</t>
        </is>
      </c>
      <c r="H21" s="4" t="n">
        <v>2018</v>
      </c>
    </row>
    <row r="22">
      <c r="B22" s="4" t="inlineStr">
        <is>
          <t>RHF</t>
        </is>
      </c>
      <c r="C22" s="4" t="inlineStr">
        <is>
          <t>KAREN E HENRY FOUNDATION FOR LONG-TERM</t>
        </is>
      </c>
      <c r="D22" s="4" t="inlineStr">
        <is>
          <t>ACCESSIBLE SPACE INC</t>
        </is>
      </c>
      <c r="E22" s="4" t="inlineStr">
        <is>
          <t>TX</t>
        </is>
      </c>
      <c r="F22" s="6" t="n">
        <v>26000</v>
      </c>
      <c r="G22" s="4" t="inlineStr">
        <is>
          <t>PAYMENTS FOR ASSISTANCE IN BUILDING SUPPORTIVE HOUSING FOR DISABLED INDIVIDUALS.</t>
        </is>
      </c>
      <c r="H22" s="4" t="n">
        <v>2017</v>
      </c>
    </row>
    <row r="23">
      <c r="B23" s="4" t="inlineStr">
        <is>
          <t>RHF</t>
        </is>
      </c>
      <c r="C23" s="4" t="inlineStr">
        <is>
          <t>WSFS CARES FOUNDATION</t>
        </is>
      </c>
      <c r="D23" s="4" t="inlineStr">
        <is>
          <t>PATHWAYS TO HOUSING PA</t>
        </is>
      </c>
      <c r="E23" s="4" t="inlineStr">
        <is>
          <t>PA</t>
        </is>
      </c>
      <c r="F23" s="6" t="n">
        <v>5000</v>
      </c>
      <c r="G23" s="4" t="inlineStr">
        <is>
          <t>AFFORDABLE HOUSING</t>
        </is>
      </c>
      <c r="H23" s="4" t="n">
        <v>2022</v>
      </c>
    </row>
    <row r="24">
      <c r="B24" s="4" t="inlineStr">
        <is>
          <t>RHF</t>
        </is>
      </c>
      <c r="C24" s="4" t="inlineStr">
        <is>
          <t>WSFS CARES FOUNDATION</t>
        </is>
      </c>
      <c r="D24" s="4" t="inlineStr">
        <is>
          <t>WOMENS COMMUNITY REVITALIZATION PROJECT</t>
        </is>
      </c>
      <c r="E24" s="4" t="inlineStr">
        <is>
          <t>PA</t>
        </is>
      </c>
      <c r="F24" s="6" t="n">
        <v>2500</v>
      </c>
      <c r="G24" s="4" t="inlineStr">
        <is>
          <t>AFFORDABLE HOUSING</t>
        </is>
      </c>
      <c r="H24" s="4" t="n">
        <v>2022</v>
      </c>
    </row>
    <row r="25">
      <c r="B25" s="4" t="inlineStr">
        <is>
          <t>RHF</t>
        </is>
      </c>
      <c r="C25" s="4" t="inlineStr">
        <is>
          <t>WSFS CARES FOUNDATION</t>
        </is>
      </c>
      <c r="D25" s="4" t="inlineStr">
        <is>
          <t>WOMENS COMMUNITY REVITALIZATION PROJECT</t>
        </is>
      </c>
      <c r="E25" s="4" t="inlineStr">
        <is>
          <t>DE</t>
        </is>
      </c>
      <c r="F25" s="6" t="n">
        <v>2500</v>
      </c>
      <c r="G25" s="4" t="inlineStr">
        <is>
          <t>AFFORDABLE HOUSING</t>
        </is>
      </c>
      <c r="H25" s="4" t="n">
        <v>2021</v>
      </c>
    </row>
    <row r="26">
      <c r="B26" s="4" t="inlineStr">
        <is>
          <t>RHF</t>
        </is>
      </c>
      <c r="C26" s="4" t="inlineStr">
        <is>
          <t>WSFS CARES FOUNDATION</t>
        </is>
      </c>
      <c r="D26" s="4" t="inlineStr">
        <is>
          <t>INGLESIDE HOMES INC</t>
        </is>
      </c>
      <c r="E26" s="4" t="inlineStr">
        <is>
          <t>DE</t>
        </is>
      </c>
      <c r="F26" s="6" t="n">
        <v>2500</v>
      </c>
      <c r="G26" s="4" t="inlineStr">
        <is>
          <t>AFFORDABLE HOUSING</t>
        </is>
      </c>
      <c r="H26" s="4" t="n">
        <v>2021</v>
      </c>
    </row>
    <row r="27">
      <c r="B27" s="4" t="inlineStr">
        <is>
          <t>RHF</t>
        </is>
      </c>
      <c r="C27" s="4" t="inlineStr">
        <is>
          <t>WSFS CARES FOUNDATION</t>
        </is>
      </c>
      <c r="D27" s="4" t="inlineStr">
        <is>
          <t>INGLESIDE HOMES INC</t>
        </is>
      </c>
      <c r="E27" s="4" t="inlineStr">
        <is>
          <t>DE</t>
        </is>
      </c>
      <c r="F27" s="6" t="n">
        <v>2500</v>
      </c>
      <c r="G27" s="4" t="inlineStr">
        <is>
          <t>AFFORDABLE HOUSING</t>
        </is>
      </c>
      <c r="H27" s="4" t="n">
        <v>2022</v>
      </c>
    </row>
    <row r="28">
      <c r="B28" s="4" t="inlineStr">
        <is>
          <t>RHF</t>
        </is>
      </c>
      <c r="C28" s="4" t="inlineStr">
        <is>
          <t>MORTENSON FAMILY FOUNDATION</t>
        </is>
      </c>
      <c r="D28" s="4" t="inlineStr">
        <is>
          <t>PROJECT FOR PRIDE IN LIVING INC</t>
        </is>
      </c>
      <c r="E28" s="4" t="inlineStr">
        <is>
          <t>MN</t>
        </is>
      </c>
      <c r="F28" s="6" t="n">
        <v>20000</v>
      </c>
      <c r="G28" s="4" t="inlineStr">
        <is>
          <t>TO BUILD THE HOPE, ASSETS, AND SELF-RELIANCE OF INDIVIDUALS AND FAMILIES WHO HAV</t>
        </is>
      </c>
      <c r="H28" s="4" t="n">
        <v>2019</v>
      </c>
    </row>
    <row r="29">
      <c r="B29" s="4" t="inlineStr">
        <is>
          <t>RHF</t>
        </is>
      </c>
      <c r="C29" s="4" t="inlineStr">
        <is>
          <t>MORTENSON FAMILY FOUNDATION</t>
        </is>
      </c>
      <c r="D29" s="4" t="inlineStr">
        <is>
          <t>PROJECT FOR PRIDE IN LIVING INC</t>
        </is>
      </c>
      <c r="E29" s="4" t="inlineStr">
        <is>
          <t>MN</t>
        </is>
      </c>
      <c r="F29" s="6" t="n">
        <v>25000</v>
      </c>
      <c r="G29" s="4" t="inlineStr">
        <is>
          <t>YOUTH AND PARENTING SERVICES IN SUPPORTIVE HOUSING</t>
        </is>
      </c>
      <c r="H29" s="4" t="n">
        <v>2022</v>
      </c>
    </row>
    <row r="30">
      <c r="B30" s="4" t="inlineStr">
        <is>
          <t>RHF</t>
        </is>
      </c>
      <c r="C30" s="4" t="inlineStr">
        <is>
          <t>MORTENSON FAMILY FOUNDATION</t>
        </is>
      </c>
      <c r="D30" s="4" t="inlineStr">
        <is>
          <t>PROJECT FOR PRIDE IN LIVING INC</t>
        </is>
      </c>
      <c r="E30" s="4" t="inlineStr">
        <is>
          <t>MN</t>
        </is>
      </c>
      <c r="F30" s="6" t="n">
        <v>2500</v>
      </c>
      <c r="G30" s="4" t="inlineStr">
        <is>
          <t>YOUTH AND PARENTING SERVICES IN SUPPORTIVE HOUSING</t>
        </is>
      </c>
      <c r="H30" s="4" t="n">
        <v>2023</v>
      </c>
    </row>
    <row r="31">
      <c r="B31" s="4" t="inlineStr">
        <is>
          <t>RHF</t>
        </is>
      </c>
      <c r="C31" s="4" t="inlineStr">
        <is>
          <t>MORTENSON FAMILY FOUNDATION</t>
        </is>
      </c>
      <c r="D31" s="4" t="inlineStr">
        <is>
          <t>PROJECT FOR PRIDE IN LIVING INC</t>
        </is>
      </c>
      <c r="E31" s="4" t="inlineStr">
        <is>
          <t>MN</t>
        </is>
      </c>
      <c r="F31" s="6" t="n">
        <v>130000</v>
      </c>
      <c r="G31" s="4" t="inlineStr">
        <is>
          <t>PPL BUILDS THE HOPE, ASSETS, AND SELF-RELIANCE OF INDIVIDUALS AND FAMILIES WHO H</t>
        </is>
      </c>
      <c r="H31" s="4" t="n">
        <v>2020</v>
      </c>
    </row>
    <row r="32">
      <c r="B32" s="4" t="inlineStr">
        <is>
          <t>RHF</t>
        </is>
      </c>
      <c r="C32" s="4" t="inlineStr">
        <is>
          <t>The McKnight Foundation</t>
        </is>
      </c>
      <c r="D32" s="4" t="inlineStr">
        <is>
          <t>PROJECT FOR PRIDE IN LIVING INC</t>
        </is>
      </c>
      <c r="E32" s="4" t="inlineStr">
        <is>
          <t>MN</t>
        </is>
      </c>
      <c r="F32" s="6" t="n">
        <v>250000</v>
      </c>
      <c r="G32" s="4" t="inlineStr">
        <is>
          <t>For general operating support and a targeted investment to explore a new model o</t>
        </is>
      </c>
      <c r="H32" s="4" t="n">
        <v>2020</v>
      </c>
    </row>
    <row r="33">
      <c r="B33" s="4" t="inlineStr">
        <is>
          <t>RHF</t>
        </is>
      </c>
      <c r="C33" s="4" t="inlineStr">
        <is>
          <t>The McKnight Foundation</t>
        </is>
      </c>
      <c r="D33" s="4" t="inlineStr">
        <is>
          <t>PROJECT FOR PRIDE IN LIVING INC</t>
        </is>
      </c>
      <c r="E33" s="4" t="inlineStr">
        <is>
          <t>MN</t>
        </is>
      </c>
      <c r="F33" s="6" t="n">
        <v>125000</v>
      </c>
      <c r="G33" s="4" t="inlineStr">
        <is>
          <t>For general operating support and a targeted investment to explore a new model o</t>
        </is>
      </c>
      <c r="H33" s="4" t="n">
        <v>2019</v>
      </c>
    </row>
    <row r="34">
      <c r="B34" s="4" t="inlineStr">
        <is>
          <t>RHF</t>
        </is>
      </c>
      <c r="C34" s="4" t="inlineStr">
        <is>
          <t>The McKnight Foundation</t>
        </is>
      </c>
      <c r="D34" s="4" t="inlineStr">
        <is>
          <t>PROJECT FOR PRIDE IN LIVING INC</t>
        </is>
      </c>
      <c r="E34" s="4" t="inlineStr">
        <is>
          <t>MN</t>
        </is>
      </c>
      <c r="F34" s="6" t="n">
        <v>125000</v>
      </c>
      <c r="G34" s="4" t="inlineStr">
        <is>
          <t>For general operating support and a targeted investment to explore a new model o</t>
        </is>
      </c>
      <c r="H34" s="4" t="n">
        <v>2019</v>
      </c>
    </row>
    <row r="35">
      <c r="B35" s="4" t="inlineStr">
        <is>
          <t>RHF</t>
        </is>
      </c>
      <c r="C35" s="4" t="inlineStr">
        <is>
          <t>The McKnight Foundation</t>
        </is>
      </c>
      <c r="D35" s="4" t="inlineStr">
        <is>
          <t>RONDO COMMUNITY LAND TRUST</t>
        </is>
      </c>
      <c r="E35" s="4" t="inlineStr">
        <is>
          <t>MN</t>
        </is>
      </c>
      <c r="F35" s="6" t="n">
        <v>100000</v>
      </c>
      <c r="G35" s="4" t="inlineStr">
        <is>
          <t xml:space="preserve">For general operating support - Rondo Community Land Trust is a community-based </t>
        </is>
      </c>
      <c r="H35" s="4" t="n">
        <v>2023</v>
      </c>
    </row>
    <row r="36">
      <c r="B36" s="4" t="inlineStr">
        <is>
          <t>RHF</t>
        </is>
      </c>
      <c r="C36" s="4" t="inlineStr">
        <is>
          <t>John &amp; Susan Dewan Foundation</t>
        </is>
      </c>
      <c r="D36" s="4" t="inlineStr">
        <is>
          <t>HOUSING OPPORTUNITIES FOR WOMEN INC</t>
        </is>
      </c>
      <c r="E36" s="4" t="inlineStr">
        <is>
          <t>IL</t>
        </is>
      </c>
      <c r="F36" s="6" t="n">
        <v>2000</v>
      </c>
      <c r="G36" s="4" t="inlineStr">
        <is>
          <t>HOUSING AND SUPPORT SERVICES FOR HOMELESS WOMEN AND FAMILIES.</t>
        </is>
      </c>
      <c r="H36" s="4" t="n">
        <v>2023</v>
      </c>
    </row>
    <row r="37">
      <c r="B37" s="4" t="inlineStr">
        <is>
          <t>RHF</t>
        </is>
      </c>
      <c r="C37" s="4" t="inlineStr">
        <is>
          <t>John &amp; Susan Dewan Foundation</t>
        </is>
      </c>
      <c r="D37" s="4" t="inlineStr">
        <is>
          <t>HOUSING OPPORTUNITIES FOR WOMEN INC</t>
        </is>
      </c>
      <c r="E37" s="4" t="inlineStr">
        <is>
          <t>IL</t>
        </is>
      </c>
      <c r="F37" s="6" t="n">
        <v>2500</v>
      </c>
      <c r="G37" s="4" t="inlineStr">
        <is>
          <t>HOUSING AND SUPPORT SERVICES FOR HOMELESS WOMEN AND FAMILIES</t>
        </is>
      </c>
      <c r="H37" s="4" t="n">
        <v>2022</v>
      </c>
    </row>
    <row r="38">
      <c r="B38" s="4" t="inlineStr">
        <is>
          <t>RHF</t>
        </is>
      </c>
      <c r="C38" s="4" t="inlineStr">
        <is>
          <t>John &amp; Susan Dewan Foundation</t>
        </is>
      </c>
      <c r="D38" s="4" t="inlineStr">
        <is>
          <t>HOUSING OPPORTUNITIES FOR WOMEN INC</t>
        </is>
      </c>
      <c r="E38" s="4" t="inlineStr">
        <is>
          <t>IL</t>
        </is>
      </c>
      <c r="F38" s="6" t="n">
        <v>2500</v>
      </c>
      <c r="G38" s="4" t="inlineStr">
        <is>
          <t>HOUSING AND SUPPORT SERVICES FOR HOMELESS WOMEN AND FAMILIES</t>
        </is>
      </c>
      <c r="H38" s="4" t="n">
        <v>2021</v>
      </c>
    </row>
    <row r="39">
      <c r="B39" s="4" t="inlineStr">
        <is>
          <t>RHF</t>
        </is>
      </c>
      <c r="C39" s="4" t="inlineStr">
        <is>
          <t>Joseph B Whitehead Foundation</t>
        </is>
      </c>
      <c r="D39" s="4" t="inlineStr">
        <is>
          <t>ATLANTA NEIGHBORHOOD DEVELOPMENT PARTNER</t>
        </is>
      </c>
      <c r="E39" s="4" t="inlineStr">
        <is>
          <t>GA</t>
        </is>
      </c>
      <c r="F39" s="6" t="n">
        <v>2000000</v>
      </c>
      <c r="G39" s="4" t="inlineStr">
        <is>
          <t>Support for plan to accelerate the production of affordable housing units.</t>
        </is>
      </c>
      <c r="H39" s="4" t="n">
        <v>2022</v>
      </c>
    </row>
    <row r="40">
      <c r="B40" s="4" t="inlineStr">
        <is>
          <t>RHF</t>
        </is>
      </c>
      <c r="C40" s="4" t="inlineStr">
        <is>
          <t>Joseph B Whitehead Foundation</t>
        </is>
      </c>
      <c r="D40" s="4" t="inlineStr">
        <is>
          <t>ATLANTA NEIGHBORHOOD DEVELOPMENT PARTNER</t>
        </is>
      </c>
      <c r="E40" s="4" t="inlineStr">
        <is>
          <t>GA</t>
        </is>
      </c>
      <c r="F40" s="6" t="n">
        <v>2000000</v>
      </c>
      <c r="G40" s="4" t="inlineStr">
        <is>
          <t>Support for plan to accelerate the production of affordable housing units.</t>
        </is>
      </c>
      <c r="H40" s="4" t="n">
        <v>2021</v>
      </c>
    </row>
    <row r="41">
      <c r="B41" s="4" t="inlineStr">
        <is>
          <t>RHF</t>
        </is>
      </c>
      <c r="C41" s="4" t="inlineStr">
        <is>
          <t>Joseph B Whitehead Foundation</t>
        </is>
      </c>
      <c r="D41" s="4" t="inlineStr">
        <is>
          <t>ATLANTA NEIGHBORHOOD DEVELOPMENT PARTNER</t>
        </is>
      </c>
      <c r="E41" s="4" t="inlineStr">
        <is>
          <t>GA</t>
        </is>
      </c>
      <c r="F41" s="6" t="n">
        <v>1000000</v>
      </c>
      <c r="G41" s="4" t="inlineStr">
        <is>
          <t>Support for investment plan to accelerate the production of affordable housing u</t>
        </is>
      </c>
      <c r="H41" s="4" t="n">
        <v>2020</v>
      </c>
    </row>
    <row r="42">
      <c r="B42" s="4" t="inlineStr">
        <is>
          <t>RHF</t>
        </is>
      </c>
      <c r="C42" s="4" t="inlineStr">
        <is>
          <t>OTTO BREMER TRUST</t>
        </is>
      </c>
      <c r="D42" s="4" t="inlineStr">
        <is>
          <t>PROJECT FOR PRIDE IN LIVING INC</t>
        </is>
      </c>
      <c r="E42" s="4" t="inlineStr">
        <is>
          <t>MN</t>
        </is>
      </c>
      <c r="F42" s="6" t="n">
        <v>200000</v>
      </c>
      <c r="G42" s="4" t="inlineStr">
        <is>
          <t>TO PROVIDE LOW-INCOME PEOPLE WITH SAFE, QUALITY, AFFORDABLE HOUSING; SUPPORT SER</t>
        </is>
      </c>
      <c r="H42" s="4" t="n">
        <v>2019</v>
      </c>
    </row>
    <row r="43">
      <c r="B43" s="4" t="inlineStr">
        <is>
          <t>RHF</t>
        </is>
      </c>
      <c r="C43" s="4" t="inlineStr">
        <is>
          <t>OTTO BREMER TRUST</t>
        </is>
      </c>
      <c r="D43" s="4" t="inlineStr">
        <is>
          <t>ACCESSIBLE SPACE INC</t>
        </is>
      </c>
      <c r="E43" s="4" t="inlineStr">
        <is>
          <t>MN</t>
        </is>
      </c>
      <c r="F43" s="6" t="n">
        <v>25000</v>
      </c>
      <c r="G43" s="4" t="inlineStr">
        <is>
          <t>TO MAINTAIN ACCESSIBLE, AFFORDABLE HOUSING AT NORTHERN LIGHTS APARTMENTS FOR VER</t>
        </is>
      </c>
      <c r="H43" s="4" t="n">
        <v>2019</v>
      </c>
    </row>
    <row r="44">
      <c r="B44" s="4" t="inlineStr">
        <is>
          <t>RHF</t>
        </is>
      </c>
      <c r="C44" s="4" t="inlineStr">
        <is>
          <t>FR BIGELOW FOUNDATION</t>
        </is>
      </c>
      <c r="D44" s="4" t="inlineStr">
        <is>
          <t>PROJECT FOR PRIDE IN LIVING INC</t>
        </is>
      </c>
      <c r="E44" s="4" t="inlineStr">
        <is>
          <t>MN</t>
        </is>
      </c>
      <c r="F44" s="6" t="n">
        <v>35000</v>
      </c>
      <c r="G44" s="4" t="inlineStr">
        <is>
          <t>PPL FAMILY SUPPORTIVE HOUSING PROGRAM</t>
        </is>
      </c>
      <c r="H44" s="4" t="n">
        <v>2022</v>
      </c>
    </row>
    <row r="45">
      <c r="B45" s="4" t="inlineStr">
        <is>
          <t>RHF</t>
        </is>
      </c>
      <c r="C45" s="4" t="inlineStr">
        <is>
          <t>FR BIGELOW FOUNDATION</t>
        </is>
      </c>
      <c r="D45" s="4" t="inlineStr">
        <is>
          <t>PROJECT FOR PRIDE IN LIVING INC</t>
        </is>
      </c>
      <c r="E45" s="4" t="inlineStr">
        <is>
          <t>MN</t>
        </is>
      </c>
      <c r="F45" s="6" t="n">
        <v>30000</v>
      </c>
      <c r="G45" s="4" t="inlineStr">
        <is>
          <t>PPL'S FAMILY SUPPORTIVE HOUSING</t>
        </is>
      </c>
      <c r="H45" s="4" t="n">
        <v>2023</v>
      </c>
    </row>
    <row r="46">
      <c r="B46" s="4" t="inlineStr">
        <is>
          <t>RHF</t>
        </is>
      </c>
      <c r="C46" s="4" t="inlineStr">
        <is>
          <t>LIBERTY MUTUAL FOUNDATION INC</t>
        </is>
      </c>
      <c r="D46" s="4" t="inlineStr">
        <is>
          <t>JUST A START INC</t>
        </is>
      </c>
      <c r="E46" s="4" t="inlineStr">
        <is>
          <t>MA</t>
        </is>
      </c>
      <c r="F46" s="6" t="n">
        <v>15000</v>
      </c>
      <c r="G46" s="4" t="inlineStr">
        <is>
          <t>RENEWAL ENERGY STUDY FOR AFFORDABLE HOUSING</t>
        </is>
      </c>
      <c r="H46" s="4" t="n">
        <v>2023</v>
      </c>
    </row>
    <row r="47">
      <c r="B47" s="4" t="inlineStr">
        <is>
          <t>RHF</t>
        </is>
      </c>
      <c r="C47" s="4" t="inlineStr">
        <is>
          <t>LIBERTY MUTUAL FOUNDATION INC</t>
        </is>
      </c>
      <c r="D47" s="4" t="inlineStr">
        <is>
          <t>JUST A START INC</t>
        </is>
      </c>
      <c r="E47" s="4" t="inlineStr">
        <is>
          <t>MA</t>
        </is>
      </c>
      <c r="F47" s="6" t="n">
        <v>15000</v>
      </c>
      <c r="G47" s="4" t="inlineStr">
        <is>
          <t>RENEWAL ENERGY STUDY FOR AFFORDABLE HOUSING</t>
        </is>
      </c>
      <c r="H47" s="4" t="n">
        <v>2023</v>
      </c>
    </row>
    <row r="48">
      <c r="B48" s="4" t="inlineStr">
        <is>
          <t>SNS</t>
        </is>
      </c>
      <c r="C48" s="4" t="inlineStr">
        <is>
          <t>CHRISTINE &amp; JALMER BERG FOUNDATION</t>
        </is>
      </c>
      <c r="D48" s="4" t="inlineStr">
        <is>
          <t>FORTUNA SENIOR SERVICES INC</t>
        </is>
      </c>
      <c r="E48" s="4" t="inlineStr">
        <is>
          <t>CA</t>
        </is>
      </c>
      <c r="F48" s="6" t="n">
        <v>100000</v>
      </c>
      <c r="G48" s="4" t="inlineStr">
        <is>
          <t>COMPLETION OF NEW SENIOR CENTER BUILDING</t>
        </is>
      </c>
      <c r="H48" s="4" t="n">
        <v>2022</v>
      </c>
    </row>
    <row r="49">
      <c r="B49" s="4" t="inlineStr">
        <is>
          <t>SNS</t>
        </is>
      </c>
      <c r="C49" s="4" t="inlineStr">
        <is>
          <t>OLESON FOUNDATION</t>
        </is>
      </c>
      <c r="D49" s="4" t="inlineStr">
        <is>
          <t>FRIENDSHIP CENTERS OF EMMET COUNTY</t>
        </is>
      </c>
      <c r="E49" s="4" t="inlineStr">
        <is>
          <t>MI</t>
        </is>
      </c>
      <c r="F49" s="6" t="n">
        <v>6000</v>
      </c>
      <c r="G49" s="4" t="inlineStr">
        <is>
          <t>MEALS ON WHEELS PROGRAM</t>
        </is>
      </c>
      <c r="H49" s="4" t="n">
        <v>2021</v>
      </c>
    </row>
    <row r="50">
      <c r="B50" s="4" t="inlineStr">
        <is>
          <t>SNS</t>
        </is>
      </c>
      <c r="C50" s="4" t="inlineStr">
        <is>
          <t>OLESON FOUNDATION</t>
        </is>
      </c>
      <c r="D50" s="4" t="inlineStr">
        <is>
          <t>FRIENDSHIP CENTERS OF EMMET COUNTY</t>
        </is>
      </c>
      <c r="E50" s="4" t="inlineStr">
        <is>
          <t>MI</t>
        </is>
      </c>
      <c r="F50" s="6" t="n">
        <v>1000</v>
      </c>
      <c r="G50" s="4" t="inlineStr">
        <is>
          <t>MEALS ON WHEELS PROGRAM</t>
        </is>
      </c>
      <c r="H50" s="4" t="n">
        <v>2022</v>
      </c>
    </row>
    <row r="51">
      <c r="B51" s="4" t="inlineStr">
        <is>
          <t>SNS</t>
        </is>
      </c>
      <c r="C51" s="4" t="inlineStr">
        <is>
          <t>OLESON FOUNDATION</t>
        </is>
      </c>
      <c r="D51" s="4" t="inlineStr">
        <is>
          <t>FRIENDSHIP CENTERS OF EMMET COUNTY</t>
        </is>
      </c>
      <c r="E51" s="4" t="inlineStr">
        <is>
          <t>MI</t>
        </is>
      </c>
      <c r="F51" s="6" t="n">
        <v>5000</v>
      </c>
      <c r="G51" s="4" t="inlineStr">
        <is>
          <t>GRANT FOR NEW MEALS ON WHEELS VEHICLE</t>
        </is>
      </c>
      <c r="H51" s="4" t="n">
        <v>2018</v>
      </c>
    </row>
    <row r="52">
      <c r="B52" s="4" t="inlineStr">
        <is>
          <t>SNS</t>
        </is>
      </c>
      <c r="C52" s="4" t="inlineStr">
        <is>
          <t>OLESON FOUNDATION</t>
        </is>
      </c>
      <c r="D52" s="4" t="inlineStr">
        <is>
          <t>FRIENDSHIP CENTERS OF EMMET COUNTY</t>
        </is>
      </c>
      <c r="E52" s="4" t="inlineStr">
        <is>
          <t>MI</t>
        </is>
      </c>
      <c r="F52" s="6" t="n">
        <v>6000</v>
      </c>
      <c r="G52" s="4" t="inlineStr">
        <is>
          <t>REPLACE AGING MEALS ON WHEELS VEHICLE</t>
        </is>
      </c>
      <c r="H52" s="4" t="n">
        <v>2024</v>
      </c>
    </row>
    <row r="53">
      <c r="B53" s="4" t="inlineStr">
        <is>
          <t>SNS</t>
        </is>
      </c>
      <c r="C53" s="4" t="inlineStr">
        <is>
          <t>OLESON FOUNDATION</t>
        </is>
      </c>
      <c r="D53" s="4" t="inlineStr">
        <is>
          <t>FRIENDSHIP CENTERS OF EMMET COUNTY</t>
        </is>
      </c>
      <c r="E53" s="4" t="inlineStr">
        <is>
          <t>MI</t>
        </is>
      </c>
      <c r="F53" s="6" t="n">
        <v>6000</v>
      </c>
      <c r="G53" s="4" t="inlineStr">
        <is>
          <t>REPLACE AGING MEALS ON WHEELS VEHICLE</t>
        </is>
      </c>
      <c r="H53" s="4" t="n">
        <v>2024</v>
      </c>
    </row>
    <row r="54">
      <c r="B54" s="4" t="inlineStr">
        <is>
          <t>SNS</t>
        </is>
      </c>
      <c r="C54" s="4" t="inlineStr">
        <is>
          <t>Anschutz Family Foundation</t>
        </is>
      </c>
      <c r="D54" s="4" t="inlineStr">
        <is>
          <t>CENTER FOR PEOPLE WITH DISABILITIES</t>
        </is>
      </c>
      <c r="E54" s="4" t="inlineStr">
        <is>
          <t>CO</t>
        </is>
      </c>
      <c r="F54" s="6" t="n">
        <v>8000</v>
      </c>
      <c r="G54" s="4" t="inlineStr">
        <is>
          <t>General operating support for programs and services that assist people with disa</t>
        </is>
      </c>
      <c r="H54" s="4" t="n">
        <v>2021</v>
      </c>
    </row>
    <row r="55">
      <c r="B55" s="4" t="inlineStr">
        <is>
          <t>SNS</t>
        </is>
      </c>
      <c r="C55" s="4" t="inlineStr">
        <is>
          <t>Anschutz Family Foundation</t>
        </is>
      </c>
      <c r="D55" s="4" t="inlineStr">
        <is>
          <t>CENTER FOR PEOPLE WITH DISABILITIES</t>
        </is>
      </c>
      <c r="E55" s="4" t="inlineStr">
        <is>
          <t>CO</t>
        </is>
      </c>
      <c r="F55" s="6" t="n">
        <v>7500</v>
      </c>
      <c r="G55" s="4" t="inlineStr">
        <is>
          <t>General operating support for programs and services that assist people with disa</t>
        </is>
      </c>
      <c r="H55" s="4" t="n">
        <v>2022</v>
      </c>
    </row>
    <row r="56">
      <c r="B56" s="4" t="inlineStr">
        <is>
          <t>SNS</t>
        </is>
      </c>
      <c r="C56" s="4" t="inlineStr">
        <is>
          <t>Anschutz Family Foundation</t>
        </is>
      </c>
      <c r="D56" s="4" t="inlineStr">
        <is>
          <t>CEREBRAL PALSY RESEARCH FOUNDATION OF KA</t>
        </is>
      </c>
      <c r="E56" s="4" t="inlineStr">
        <is>
          <t>KS</t>
        </is>
      </c>
      <c r="F56" s="6" t="n">
        <v>5000</v>
      </c>
      <c r="G56" s="4" t="inlineStr">
        <is>
          <t>General operating support to help people with disabilities achieve their employm</t>
        </is>
      </c>
      <c r="H56" s="4" t="n">
        <v>2021</v>
      </c>
    </row>
    <row r="57">
      <c r="B57" s="4" t="inlineStr">
        <is>
          <t>SNS</t>
        </is>
      </c>
      <c r="C57" s="4" t="inlineStr">
        <is>
          <t>Anschutz Family Foundation</t>
        </is>
      </c>
      <c r="D57" s="4" t="inlineStr">
        <is>
          <t>CEREBRAL PALSY RESEARCH FOUNDATION OF KA</t>
        </is>
      </c>
      <c r="E57" s="4" t="inlineStr">
        <is>
          <t>KS</t>
        </is>
      </c>
      <c r="F57" s="6" t="n">
        <v>5000</v>
      </c>
      <c r="G57" s="4" t="inlineStr">
        <is>
          <t>General operating support to help people with disabilities achieve their employm</t>
        </is>
      </c>
      <c r="H57" s="4" t="n">
        <v>2022</v>
      </c>
    </row>
    <row r="58">
      <c r="B58" s="4" t="inlineStr">
        <is>
          <t>SNS</t>
        </is>
      </c>
      <c r="C58" s="4" t="inlineStr">
        <is>
          <t>MCKEEN FUND</t>
        </is>
      </c>
      <c r="D58" s="4" t="inlineStr">
        <is>
          <t>THE VISCARDI CENTER INC</t>
        </is>
      </c>
      <c r="E58" s="4" t="inlineStr">
        <is>
          <t>NY</t>
        </is>
      </c>
      <c r="F58" s="6" t="n">
        <v>20000</v>
      </c>
      <c r="G58" s="4" t="inlineStr">
        <is>
          <t>DISABILITY SERVICES</t>
        </is>
      </c>
      <c r="H58" s="4" t="n">
        <v>2020</v>
      </c>
    </row>
    <row r="59">
      <c r="B59" s="4" t="inlineStr">
        <is>
          <t>SNS</t>
        </is>
      </c>
      <c r="C59" s="4" t="inlineStr">
        <is>
          <t>MCKEEN FUND</t>
        </is>
      </c>
      <c r="D59" s="4" t="inlineStr">
        <is>
          <t>THE VISCARDI CENTER INC</t>
        </is>
      </c>
      <c r="E59" s="4" t="inlineStr">
        <is>
          <t>NY</t>
        </is>
      </c>
      <c r="F59" s="6" t="n">
        <v>10000</v>
      </c>
      <c r="G59" s="4" t="inlineStr">
        <is>
          <t>DISABILITY SERVICES</t>
        </is>
      </c>
      <c r="H59" s="4" t="n">
        <v>2020</v>
      </c>
    </row>
    <row r="60">
      <c r="B60" s="4" t="inlineStr">
        <is>
          <t>SNS</t>
        </is>
      </c>
      <c r="C60" s="4" t="inlineStr">
        <is>
          <t>MCKEEN FUND</t>
        </is>
      </c>
      <c r="D60" s="4" t="inlineStr">
        <is>
          <t>THE VISCARDI CENTER INC</t>
        </is>
      </c>
      <c r="E60" s="4" t="inlineStr">
        <is>
          <t>NY</t>
        </is>
      </c>
      <c r="F60" s="6" t="n">
        <v>10000</v>
      </c>
      <c r="G60" s="4" t="inlineStr">
        <is>
          <t>DISABILITY SERVICES</t>
        </is>
      </c>
      <c r="H60" s="4" t="n">
        <v>2020</v>
      </c>
    </row>
    <row r="61">
      <c r="B61" s="4" t="inlineStr">
        <is>
          <t>SNS</t>
        </is>
      </c>
      <c r="C61" s="4" t="inlineStr">
        <is>
          <t>MCKEEN FUND</t>
        </is>
      </c>
      <c r="D61" s="4" t="inlineStr">
        <is>
          <t>THE VISCARDI CENTER INC</t>
        </is>
      </c>
      <c r="E61" s="4" t="inlineStr">
        <is>
          <t>NY</t>
        </is>
      </c>
      <c r="F61" s="6" t="n">
        <v>10000</v>
      </c>
      <c r="G61" s="4" t="inlineStr">
        <is>
          <t>DISABILITY SERVICES</t>
        </is>
      </c>
      <c r="H61" s="4" t="n">
        <v>2020</v>
      </c>
    </row>
    <row r="62">
      <c r="B62" s="4" t="inlineStr">
        <is>
          <t>SNS</t>
        </is>
      </c>
      <c r="C62" s="4" t="inlineStr">
        <is>
          <t>WHITE FAMILY FOUNDATION</t>
        </is>
      </c>
      <c r="D62" s="4" t="inlineStr">
        <is>
          <t>CREATIVE CLAY INC</t>
        </is>
      </c>
      <c r="E62" s="4" t="inlineStr">
        <is>
          <t>FL</t>
        </is>
      </c>
      <c r="F62" s="6" t="n">
        <v>9500</v>
      </c>
      <c r="G62" s="4" t="inlineStr">
        <is>
          <t>SERVICES FOR DISABLED PERSONS</t>
        </is>
      </c>
      <c r="H62" s="4" t="n">
        <v>2019</v>
      </c>
    </row>
    <row r="63">
      <c r="B63" s="4" t="inlineStr">
        <is>
          <t>SNS</t>
        </is>
      </c>
      <c r="C63" s="4" t="inlineStr">
        <is>
          <t>WHITE FAMILY FOUNDATION</t>
        </is>
      </c>
      <c r="D63" s="4" t="inlineStr">
        <is>
          <t>CREATIVE CLAY INC</t>
        </is>
      </c>
      <c r="E63" s="4" t="inlineStr">
        <is>
          <t>FL</t>
        </is>
      </c>
      <c r="F63" s="6" t="n">
        <v>5000</v>
      </c>
      <c r="G63" s="4" t="inlineStr">
        <is>
          <t>SERVICES FOR DISABLED PERSONS</t>
        </is>
      </c>
      <c r="H63" s="4" t="n">
        <v>2022</v>
      </c>
    </row>
    <row r="64">
      <c r="B64" s="4" t="inlineStr">
        <is>
          <t>SNS</t>
        </is>
      </c>
      <c r="C64" s="4" t="inlineStr">
        <is>
          <t>WHITE FAMILY FOUNDATION</t>
        </is>
      </c>
      <c r="D64" s="4" t="inlineStr">
        <is>
          <t>CREATIVE CLAY INC</t>
        </is>
      </c>
      <c r="E64" s="4" t="inlineStr">
        <is>
          <t>FL</t>
        </is>
      </c>
      <c r="F64" s="6" t="n">
        <v>5000</v>
      </c>
      <c r="G64" s="4" t="inlineStr">
        <is>
          <t>SERVICES FOR DISABLED PERSONS</t>
        </is>
      </c>
      <c r="H64" s="4" t="n">
        <v>2021</v>
      </c>
    </row>
    <row r="65">
      <c r="B65" s="4" t="inlineStr">
        <is>
          <t>SNS</t>
        </is>
      </c>
      <c r="C65" s="4" t="inlineStr">
        <is>
          <t>WHITE FAMILY FOUNDATION</t>
        </is>
      </c>
      <c r="D65" s="4" t="inlineStr">
        <is>
          <t>CREATIVE CLAY INC</t>
        </is>
      </c>
      <c r="E65" s="4" t="inlineStr">
        <is>
          <t>FL</t>
        </is>
      </c>
      <c r="F65" s="6" t="n">
        <v>5000</v>
      </c>
      <c r="G65" s="4" t="inlineStr">
        <is>
          <t>SERVICES FOR DISABLED PERSONS</t>
        </is>
      </c>
      <c r="H65" s="4" t="n">
        <v>2020</v>
      </c>
    </row>
    <row r="66">
      <c r="B66" s="4" t="inlineStr">
        <is>
          <t>SNS</t>
        </is>
      </c>
      <c r="C66" s="4" t="inlineStr">
        <is>
          <t>DIRECT SUPPLY FOUNDATION INC</t>
        </is>
      </c>
      <c r="D66" s="4" t="inlineStr">
        <is>
          <t>EISENHOWER CENTER INC</t>
        </is>
      </c>
      <c r="E66" s="4" t="inlineStr">
        <is>
          <t>WI</t>
        </is>
      </c>
      <c r="F66" s="6" t="n">
        <v>6000</v>
      </c>
      <c r="G66" s="4" t="inlineStr">
        <is>
          <t>SUPPORT FOR INDIVIDUALS IN THE COMMUNITY WITH DISABILITIES</t>
        </is>
      </c>
      <c r="H66" s="4" t="n">
        <v>2020</v>
      </c>
    </row>
    <row r="67">
      <c r="B67" s="4" t="inlineStr">
        <is>
          <t>SNS</t>
        </is>
      </c>
      <c r="C67" s="4" t="inlineStr">
        <is>
          <t>DIRECT SUPPLY FOUNDATION INC</t>
        </is>
      </c>
      <c r="D67" s="4" t="inlineStr">
        <is>
          <t>EISENHOWER CENTER INC</t>
        </is>
      </c>
      <c r="E67" s="4" t="inlineStr">
        <is>
          <t>WI</t>
        </is>
      </c>
      <c r="F67" s="6" t="n">
        <v>3553</v>
      </c>
      <c r="G67" s="4" t="inlineStr">
        <is>
          <t>SUPPORT FOR INDIVIDUALS IN THE COMMUNITY WITH DISABILITIES</t>
        </is>
      </c>
      <c r="H67" s="4" t="n">
        <v>2019</v>
      </c>
    </row>
    <row r="68">
      <c r="B68" s="4" t="inlineStr">
        <is>
          <t>SNS</t>
        </is>
      </c>
      <c r="C68" s="4" t="inlineStr">
        <is>
          <t>DIRECT SUPPLY FOUNDATION INC</t>
        </is>
      </c>
      <c r="D68" s="4" t="inlineStr">
        <is>
          <t>EISENHOWER CENTER INC</t>
        </is>
      </c>
      <c r="E68" s="4" t="inlineStr">
        <is>
          <t>WI</t>
        </is>
      </c>
      <c r="F68" s="6" t="n">
        <v>3500</v>
      </c>
      <c r="G68" s="4" t="inlineStr">
        <is>
          <t>SUPPORT FOR INDIVIDUALS IN THE COMMUNITY WITH DISABILITIES</t>
        </is>
      </c>
      <c r="H68" s="4" t="n">
        <v>2018</v>
      </c>
    </row>
    <row r="69">
      <c r="B69" s="4" t="inlineStr">
        <is>
          <t>SNS</t>
        </is>
      </c>
      <c r="C69" s="4" t="inlineStr">
        <is>
          <t>W J BRACE CHARITABLE TRUST</t>
        </is>
      </c>
      <c r="D69" s="4" t="inlineStr">
        <is>
          <t>NORTHLAND SHEPHERDS CENTER</t>
        </is>
      </c>
      <c r="E69" s="4" t="inlineStr">
        <is>
          <t>MO</t>
        </is>
      </c>
      <c r="F69" s="6" t="n">
        <v>12000</v>
      </c>
      <c r="G69" s="4" t="inlineStr">
        <is>
          <t>TRANSPORTATION FOR OLDER</t>
        </is>
      </c>
      <c r="H69" s="4" t="n">
        <v>2020</v>
      </c>
    </row>
    <row r="70">
      <c r="B70" s="4" t="inlineStr">
        <is>
          <t>SNS</t>
        </is>
      </c>
      <c r="C70" s="4" t="inlineStr">
        <is>
          <t>W J BRACE CHARITABLE TRUST</t>
        </is>
      </c>
      <c r="D70" s="4" t="inlineStr">
        <is>
          <t>NORTHLAND SHEPHERDS CENTER</t>
        </is>
      </c>
      <c r="E70" s="4" t="inlineStr">
        <is>
          <t>MO</t>
        </is>
      </c>
      <c r="F70" s="6" t="n">
        <v>12000</v>
      </c>
      <c r="G70" s="4" t="inlineStr">
        <is>
          <t>TRANSPORTATION FOR OLDER</t>
        </is>
      </c>
      <c r="H70" s="4" t="n">
        <v>2021</v>
      </c>
    </row>
    <row r="71">
      <c r="B71" s="4" t="inlineStr">
        <is>
          <t>SNS</t>
        </is>
      </c>
      <c r="C71" s="4" t="inlineStr">
        <is>
          <t>W J BRACE CHARITABLE TRUST</t>
        </is>
      </c>
      <c r="D71" s="4" t="inlineStr">
        <is>
          <t>NORTHLAND SHEPHERDS CENTER</t>
        </is>
      </c>
      <c r="E71" s="4" t="inlineStr">
        <is>
          <t>MO</t>
        </is>
      </c>
      <c r="F71" s="6" t="n">
        <v>12000</v>
      </c>
      <c r="G71" s="4" t="inlineStr">
        <is>
          <t>TRANSPORTATION FOR OLDER</t>
        </is>
      </c>
      <c r="H71" s="4" t="n">
        <v>2019</v>
      </c>
    </row>
    <row r="72">
      <c r="B72" s="4" t="inlineStr">
        <is>
          <t>SNS</t>
        </is>
      </c>
      <c r="C72" s="4" t="inlineStr">
        <is>
          <t>GLEN AND DOROTHY STILLWELL</t>
        </is>
      </c>
      <c r="D72" s="4" t="inlineStr">
        <is>
          <t>PROGRESS INC</t>
        </is>
      </c>
      <c r="E72" s="4" t="inlineStr">
        <is>
          <t>TN</t>
        </is>
      </c>
      <c r="F72" s="6" t="n">
        <v>20000</v>
      </c>
      <c r="G72" s="4" t="inlineStr">
        <is>
          <t>TRANSPORTATION COSTS AND DISABILITIES DAY SERVICES PROGRAM</t>
        </is>
      </c>
      <c r="H72" s="4" t="n">
        <v>2021</v>
      </c>
    </row>
    <row r="73">
      <c r="B73" s="4" t="inlineStr">
        <is>
          <t>SNS</t>
        </is>
      </c>
      <c r="C73" s="4" t="inlineStr">
        <is>
          <t>GLEN AND DOROTHY STILLWELL</t>
        </is>
      </c>
      <c r="D73" s="4" t="inlineStr">
        <is>
          <t>PROGRESS INC</t>
        </is>
      </c>
      <c r="E73" s="4" t="inlineStr">
        <is>
          <t>TN</t>
        </is>
      </c>
      <c r="F73" s="6" t="n">
        <v>20000</v>
      </c>
      <c r="G73" s="4" t="inlineStr">
        <is>
          <t>TRANSPORTATION COSTS AND DISABILITIES DAY SERVICES PROGRAM</t>
        </is>
      </c>
      <c r="H73" s="4" t="n">
        <v>2022</v>
      </c>
    </row>
    <row r="74">
      <c r="B74" s="4" t="inlineStr">
        <is>
          <t>SNS</t>
        </is>
      </c>
      <c r="C74" s="4" t="inlineStr">
        <is>
          <t>METROWEST HEALTH FOUNDATION INC</t>
        </is>
      </c>
      <c r="D74" s="4" t="inlineStr">
        <is>
          <t>NATICK SERVICE COUNCIL INC</t>
        </is>
      </c>
      <c r="E74" s="4" t="inlineStr">
        <is>
          <t>MA</t>
        </is>
      </c>
      <c r="F74" s="6" t="n">
        <v>12500</v>
      </c>
      <c r="G74" s="4" t="inlineStr">
        <is>
          <t>STABILITY: CAREER DEVELOPMENT &amp; CASE MANAGEMENT</t>
        </is>
      </c>
      <c r="H74" s="4" t="n">
        <v>2022</v>
      </c>
    </row>
    <row r="75">
      <c r="B75" s="4" t="inlineStr">
        <is>
          <t>SNS</t>
        </is>
      </c>
      <c r="C75" s="4" t="inlineStr">
        <is>
          <t>METROWEST HEALTH FOUNDATION INC</t>
        </is>
      </c>
      <c r="D75" s="4" t="inlineStr">
        <is>
          <t>NATICK SERVICE COUNCIL INC</t>
        </is>
      </c>
      <c r="E75" s="4" t="inlineStr">
        <is>
          <t>MA</t>
        </is>
      </c>
      <c r="F75" s="6" t="n">
        <v>12500</v>
      </c>
      <c r="G75" s="4" t="inlineStr">
        <is>
          <t>STABILITY: CAREER DEVELOPMENT &amp; CASE MANAGEMENT</t>
        </is>
      </c>
      <c r="H75" s="4" t="n">
        <v>2021</v>
      </c>
    </row>
    <row r="76">
      <c r="B76" s="4" t="inlineStr">
        <is>
          <t>SNS</t>
        </is>
      </c>
      <c r="C76" s="4" t="inlineStr">
        <is>
          <t>TD CHARITABLE FOUNDATION</t>
        </is>
      </c>
      <c r="D76" s="4" t="inlineStr">
        <is>
          <t>SENIORS FIRST INC</t>
        </is>
      </c>
      <c r="E76" s="4" t="inlineStr">
        <is>
          <t>FL</t>
        </is>
      </c>
      <c r="F76" s="6" t="n">
        <v>10000</v>
      </c>
      <c r="G76" s="4" t="inlineStr">
        <is>
          <t>EMERGENCY MEALS ON WHEELS PROGRAM</t>
        </is>
      </c>
      <c r="H76" s="4" t="n">
        <v>2020</v>
      </c>
    </row>
    <row r="77">
      <c r="B77" s="4" t="inlineStr">
        <is>
          <t>SNS</t>
        </is>
      </c>
      <c r="C77" s="4" t="inlineStr">
        <is>
          <t>TD CHARITABLE FOUNDATION</t>
        </is>
      </c>
      <c r="D77" s="4" t="inlineStr">
        <is>
          <t>SENIORS FIRST INC</t>
        </is>
      </c>
      <c r="E77" s="4" t="inlineStr">
        <is>
          <t>FL</t>
        </is>
      </c>
      <c r="F77" s="6" t="n">
        <v>10000</v>
      </c>
      <c r="G77" s="4" t="inlineStr">
        <is>
          <t>EMERGENCY MEALS ON WHEELS PROGRAM</t>
        </is>
      </c>
      <c r="H77" s="4" t="n">
        <v>2019</v>
      </c>
    </row>
    <row r="78">
      <c r="B78" s="4" t="inlineStr">
        <is>
          <t>SNS</t>
        </is>
      </c>
      <c r="C78" s="4" t="inlineStr">
        <is>
          <t>AMERICAN WOODMARK FOUNDATION INC</t>
        </is>
      </c>
      <c r="D78" s="4" t="inlineStr">
        <is>
          <t>NW WORKS INC</t>
        </is>
      </c>
      <c r="E78" s="4" t="inlineStr">
        <is>
          <t>VA</t>
        </is>
      </c>
      <c r="F78" s="6" t="n">
        <v>3500</v>
      </c>
      <c r="G78" s="4" t="inlineStr">
        <is>
          <t>SUPPORT THE NEEDS OF CLIENT TRANSPORTATION TO AND FROM WORK AND THERAPEUTIC SERV</t>
        </is>
      </c>
      <c r="H78" s="4" t="n">
        <v>2020</v>
      </c>
    </row>
    <row r="79">
      <c r="B79" s="4" t="inlineStr">
        <is>
          <t>SNS</t>
        </is>
      </c>
      <c r="C79" s="4" t="inlineStr">
        <is>
          <t>AMERICAN WOODMARK FOUNDATION INC</t>
        </is>
      </c>
      <c r="D79" s="4" t="inlineStr">
        <is>
          <t>SENIORS FIRST INC</t>
        </is>
      </c>
      <c r="E79" s="4" t="inlineStr">
        <is>
          <t>FL</t>
        </is>
      </c>
      <c r="F79" s="6" t="n">
        <v>3000</v>
      </c>
      <c r="G79" s="4" t="inlineStr">
        <is>
          <t xml:space="preserve">SUPPORT THE MEALS ON WHEELS PROGRAM, WHICH WILL PROVIDE 376 MEALS TO LOW-INCOME </t>
        </is>
      </c>
      <c r="H79" s="4" t="n">
        <v>2021</v>
      </c>
    </row>
    <row r="80">
      <c r="B80" s="4" t="inlineStr">
        <is>
          <t>SNS</t>
        </is>
      </c>
      <c r="C80" s="4" t="inlineStr">
        <is>
          <t>THE DR P PHILLIPS FOUNDATION</t>
        </is>
      </c>
      <c r="D80" s="4" t="inlineStr">
        <is>
          <t>SENIORS FIRST INC</t>
        </is>
      </c>
      <c r="E80" s="4" t="inlineStr">
        <is>
          <t>FL</t>
        </is>
      </c>
      <c r="F80" s="6" t="n">
        <v>50000</v>
      </c>
      <c r="G80" s="4" t="inlineStr">
        <is>
          <t>PROGRAM SUPPORT - SOCIAL SERVICES</t>
        </is>
      </c>
      <c r="H80" s="4" t="n">
        <v>2020</v>
      </c>
    </row>
    <row r="81">
      <c r="B81" s="4" t="inlineStr">
        <is>
          <t>SNS</t>
        </is>
      </c>
      <c r="C81" s="4" t="inlineStr">
        <is>
          <t>THE DR P PHILLIPS FOUNDATION</t>
        </is>
      </c>
      <c r="D81" s="4" t="inlineStr">
        <is>
          <t>OSCEOLA COUNTY COUNCIL ON AGING INC</t>
        </is>
      </c>
      <c r="E81" s="4" t="inlineStr">
        <is>
          <t>FL</t>
        </is>
      </c>
      <c r="F81" s="6" t="n">
        <v>10000</v>
      </c>
      <c r="G81" s="4" t="inlineStr">
        <is>
          <t>PROGRAM SUPPORT - SOCIAL SERVICES</t>
        </is>
      </c>
      <c r="H81" s="4" t="n">
        <v>2020</v>
      </c>
    </row>
    <row r="82">
      <c r="B82" s="4" t="inlineStr">
        <is>
          <t>SNS</t>
        </is>
      </c>
      <c r="C82" s="4" t="inlineStr">
        <is>
          <t>FUNDACION TRIPLE-S INC</t>
        </is>
      </c>
      <c r="D82" s="4" t="inlineStr">
        <is>
          <t>ESPERANZA PARA LA VEJEZ INC</t>
        </is>
      </c>
      <c r="E82" s="4" t="inlineStr">
        <is>
          <t>PR</t>
        </is>
      </c>
      <c r="F82" s="6" t="n">
        <v>25000</v>
      </c>
      <c r="G82" s="4" t="inlineStr">
        <is>
          <t>SOCIAL SERVICES</t>
        </is>
      </c>
      <c r="H82" s="4" t="n">
        <v>2023</v>
      </c>
    </row>
    <row r="83">
      <c r="B83" s="4" t="inlineStr">
        <is>
          <t>SNS</t>
        </is>
      </c>
      <c r="C83" s="4" t="inlineStr">
        <is>
          <t>FUNDACION TRIPLE-S INC</t>
        </is>
      </c>
      <c r="D83" s="4" t="inlineStr">
        <is>
          <t>ESPERANZA PARA LA VEJEZ INC</t>
        </is>
      </c>
      <c r="E83" s="4" t="inlineStr">
        <is>
          <t>PR</t>
        </is>
      </c>
      <c r="F83" s="6" t="n">
        <v>5000</v>
      </c>
      <c r="G83" s="4" t="inlineStr">
        <is>
          <t>SOCIAL SERVICES</t>
        </is>
      </c>
      <c r="H83" s="4" t="n">
        <v>2022</v>
      </c>
    </row>
    <row r="84">
      <c r="B84" s="4" t="inlineStr">
        <is>
          <t>SNS</t>
        </is>
      </c>
      <c r="C84" s="4" t="inlineStr">
        <is>
          <t>THE MYRON STRATTON HOME</t>
        </is>
      </c>
      <c r="D84" s="4" t="inlineStr">
        <is>
          <t>SPECIAL KIDS - SPECIAL FAMILIES INC</t>
        </is>
      </c>
      <c r="E84" s="4" t="inlineStr">
        <is>
          <t>CO</t>
        </is>
      </c>
      <c r="F84" s="6" t="n">
        <v>20000</v>
      </c>
      <c r="G84" s="4" t="inlineStr">
        <is>
          <t>PROGRAM SUPPORT: DISABILITIES AND SPECIAL NEEDS ASSISTANCE</t>
        </is>
      </c>
      <c r="H84" s="4" t="n">
        <v>2019</v>
      </c>
    </row>
    <row r="85">
      <c r="B85" s="4" t="inlineStr">
        <is>
          <t>SNS</t>
        </is>
      </c>
      <c r="C85" s="4" t="inlineStr">
        <is>
          <t>THE MYRON STRATTON HOME</t>
        </is>
      </c>
      <c r="D85" s="4" t="inlineStr">
        <is>
          <t xml:space="preserve">EL PASO FOUNTAIN VALLEY SENIOR CITIZENS </t>
        </is>
      </c>
      <c r="E85" s="4" t="inlineStr">
        <is>
          <t>CO</t>
        </is>
      </c>
      <c r="F85" s="6" t="n">
        <v>18000</v>
      </c>
      <c r="G85" s="4" t="inlineStr">
        <is>
          <t>Senior Center Garden</t>
        </is>
      </c>
      <c r="H85" s="4" t="n">
        <v>2023</v>
      </c>
    </row>
    <row r="86">
      <c r="B86" s="4" t="inlineStr">
        <is>
          <t>SNS</t>
        </is>
      </c>
      <c r="C86" s="4" t="inlineStr">
        <is>
          <t>NEXTFIFTY INITIATIVE</t>
        </is>
      </c>
      <c r="D86" s="4" t="inlineStr">
        <is>
          <t>CENTER FOR PEOPLE WITH DISABILITIES</t>
        </is>
      </c>
      <c r="E86" s="4" t="inlineStr">
        <is>
          <t>CO</t>
        </is>
      </c>
      <c r="F86" s="6" t="n">
        <v>69000</v>
      </c>
      <c r="G86" s="4" t="inlineStr">
        <is>
          <t>INDEPEDENT LIVING FOR OLDER ADULTS WITH DISABILITIES</t>
        </is>
      </c>
      <c r="H86" s="4" t="n">
        <v>2023</v>
      </c>
    </row>
    <row r="87">
      <c r="B87" s="4" t="inlineStr">
        <is>
          <t>Horizons</t>
        </is>
      </c>
      <c r="C87" s="4" t="inlineStr">
        <is>
          <t>GEORGIA POWER FOUNDATION INC</t>
        </is>
      </c>
      <c r="D87" s="4" t="inlineStr">
        <is>
          <t>HORIZONS ATLANTA INC</t>
        </is>
      </c>
      <c r="E87" s="4" t="inlineStr">
        <is>
          <t>GA</t>
        </is>
      </c>
      <c r="F87" s="6" t="n">
        <v>25000</v>
      </c>
      <c r="G87" s="4" t="inlineStr">
        <is>
          <t>HORIZONS ATLANTA SUMMER LEARNING AND ENRICHMENT PROGRAMS</t>
        </is>
      </c>
      <c r="H87" s="4" t="n">
        <v>2022</v>
      </c>
    </row>
    <row r="88">
      <c r="B88" s="4" t="inlineStr">
        <is>
          <t>Horizons</t>
        </is>
      </c>
      <c r="C88" s="4" t="inlineStr">
        <is>
          <t>GEORGIA POWER FOUNDATION INC</t>
        </is>
      </c>
      <c r="D88" s="4" t="inlineStr">
        <is>
          <t>HORIZONS ATLANTA INC</t>
        </is>
      </c>
      <c r="E88" s="4" t="inlineStr">
        <is>
          <t>GA</t>
        </is>
      </c>
      <c r="F88" s="6" t="n">
        <v>100000</v>
      </c>
      <c r="G88" s="4" t="inlineStr">
        <is>
          <t>INCREASING SUCCESS OF STUDENTS IN UNDERSERVED COMMUNITIES THROUGH INNOVATIVE SUM</t>
        </is>
      </c>
      <c r="H88" s="4" t="n">
        <v>2019</v>
      </c>
    </row>
    <row r="89">
      <c r="B89" s="4" t="inlineStr">
        <is>
          <t>Horizons</t>
        </is>
      </c>
      <c r="C89" s="4" t="inlineStr">
        <is>
          <t>GEORGIA POWER FOUNDATION INC</t>
        </is>
      </c>
      <c r="D89" s="4" t="inlineStr">
        <is>
          <t>HORIZONS ATLANTA INC</t>
        </is>
      </c>
      <c r="E89" s="4" t="inlineStr">
        <is>
          <t>GA</t>
        </is>
      </c>
      <c r="F89" s="6" t="n">
        <v>75000</v>
      </c>
      <c r="G89" s="4" t="inlineStr">
        <is>
          <t>HORIZONS ATLANTA SUMMER ENRICHMENT PROGRAM FOR CHILDREN IN UNDERSERVED COMMUNITI</t>
        </is>
      </c>
      <c r="H89" s="4" t="n">
        <v>2018</v>
      </c>
    </row>
    <row r="90">
      <c r="B90" s="4" t="inlineStr">
        <is>
          <t>Horizons</t>
        </is>
      </c>
      <c r="C90" s="4" t="inlineStr">
        <is>
          <t>GEORGIA POWER FOUNDATION INC</t>
        </is>
      </c>
      <c r="D90" s="4" t="inlineStr">
        <is>
          <t>HORIZONS ATLANTA INC</t>
        </is>
      </c>
      <c r="E90" s="4" t="inlineStr">
        <is>
          <t>GA</t>
        </is>
      </c>
      <c r="F90" s="6" t="n">
        <v>50000</v>
      </c>
      <c r="G90" s="4" t="inlineStr">
        <is>
          <t>INCREASING SUCCESS OF STUDENTS IN UNDERSERVED COMMUNITIES THROUGH INNOVATIVE SUM</t>
        </is>
      </c>
      <c r="H90" s="4" t="n">
        <v>2020</v>
      </c>
    </row>
    <row r="91">
      <c r="B91" s="4" t="inlineStr">
        <is>
          <t>Horizons</t>
        </is>
      </c>
      <c r="C91" s="4" t="inlineStr">
        <is>
          <t>GEORGIA POWER FOUNDATION INC</t>
        </is>
      </c>
      <c r="D91" s="4" t="inlineStr">
        <is>
          <t>HORIZONS ATLANTA INC</t>
        </is>
      </c>
      <c r="E91" s="4" t="inlineStr">
        <is>
          <t>GA</t>
        </is>
      </c>
      <c r="F91" s="6" t="n">
        <v>40000</v>
      </c>
      <c r="G91" s="4" t="inlineStr">
        <is>
          <t>HORIZONS ATLANTA ACADEMIC AND ENRICHMENT PROGRAM</t>
        </is>
      </c>
      <c r="H91" s="4" t="n">
        <v>2023</v>
      </c>
    </row>
    <row r="92">
      <c r="B92" s="4" t="inlineStr">
        <is>
          <t>Horizons</t>
        </is>
      </c>
      <c r="C92" s="4" t="inlineStr">
        <is>
          <t>Joseph B Whitehead Foundation</t>
        </is>
      </c>
      <c r="D92" s="4" t="inlineStr">
        <is>
          <t>HORIZONS ATLANTA INC</t>
        </is>
      </c>
      <c r="E92" s="4" t="inlineStr">
        <is>
          <t>GA</t>
        </is>
      </c>
      <c r="F92" s="6" t="n">
        <v>500000</v>
      </c>
      <c r="G92" s="4" t="inlineStr">
        <is>
          <t>Expansion of academic enrichment program.</t>
        </is>
      </c>
      <c r="H92" s="4" t="n">
        <v>2023</v>
      </c>
    </row>
    <row r="93">
      <c r="B93" s="4" t="inlineStr">
        <is>
          <t>Horizons</t>
        </is>
      </c>
      <c r="C93" s="4" t="inlineStr">
        <is>
          <t>Joseph B Whitehead Foundation</t>
        </is>
      </c>
      <c r="D93" s="4" t="inlineStr">
        <is>
          <t>HORIZONS ATLANTA INC</t>
        </is>
      </c>
      <c r="E93" s="4" t="inlineStr">
        <is>
          <t>GA</t>
        </is>
      </c>
      <c r="F93" s="6" t="n">
        <v>400000</v>
      </c>
      <c r="G93" s="4" t="inlineStr">
        <is>
          <t>Expansion of academic enrichment program.</t>
        </is>
      </c>
      <c r="H93" s="4" t="n">
        <v>2021</v>
      </c>
    </row>
    <row r="94">
      <c r="B94" s="4" t="inlineStr">
        <is>
          <t>Horizons</t>
        </is>
      </c>
      <c r="C94" s="4" t="inlineStr">
        <is>
          <t>Joseph B Whitehead Foundation</t>
        </is>
      </c>
      <c r="D94" s="4" t="inlineStr">
        <is>
          <t>HORIZONS ATLANTA INC</t>
        </is>
      </c>
      <c r="E94" s="4" t="inlineStr">
        <is>
          <t>GA</t>
        </is>
      </c>
      <c r="F94" s="6" t="n">
        <v>400000</v>
      </c>
      <c r="G94" s="4" t="inlineStr">
        <is>
          <t>Expansion of academic enrichment program.</t>
        </is>
      </c>
      <c r="H94" s="4" t="n">
        <v>2022</v>
      </c>
    </row>
    <row r="95">
      <c r="B95" s="4" t="inlineStr">
        <is>
          <t>Horizons</t>
        </is>
      </c>
      <c r="C95" s="4" t="inlineStr">
        <is>
          <t>AEC Trust</t>
        </is>
      </c>
      <c r="D95" s="4" t="inlineStr">
        <is>
          <t>HORIZONS ATLANTA INC</t>
        </is>
      </c>
      <c r="E95" s="4" t="inlineStr">
        <is>
          <t>GA</t>
        </is>
      </c>
      <c r="F95" s="6" t="n">
        <v>25000</v>
      </c>
      <c r="G95" s="4" t="inlineStr">
        <is>
          <t>Summer Academic and Enrichment program</t>
        </is>
      </c>
      <c r="H95" s="4" t="n">
        <v>2022</v>
      </c>
    </row>
    <row r="96">
      <c r="B96" s="4" t="inlineStr">
        <is>
          <t>Horizons</t>
        </is>
      </c>
      <c r="C96" s="4" t="inlineStr">
        <is>
          <t>AEC Trust</t>
        </is>
      </c>
      <c r="D96" s="4" t="inlineStr">
        <is>
          <t>HORIZONS ATLANTA INC</t>
        </is>
      </c>
      <c r="E96" s="4" t="inlineStr">
        <is>
          <t>GA</t>
        </is>
      </c>
      <c r="F96" s="6" t="n">
        <v>25000</v>
      </c>
      <c r="G96" s="4" t="inlineStr">
        <is>
          <t>2021 Summer Academic and Enrichment Program</t>
        </is>
      </c>
      <c r="H96" s="4" t="n">
        <v>2021</v>
      </c>
    </row>
    <row r="97">
      <c r="B97" s="4" t="inlineStr">
        <is>
          <t>Horizons</t>
        </is>
      </c>
      <c r="C97" s="4" t="inlineStr">
        <is>
          <t>THE CALIFORNIA WELLNESS FOUNDATION</t>
        </is>
      </c>
      <c r="D97" s="4" t="inlineStr">
        <is>
          <t>HORIZONS FOUNDATION</t>
        </is>
      </c>
      <c r="E97" s="4" t="inlineStr">
        <is>
          <t>CA</t>
        </is>
      </c>
      <c r="F97" s="6" t="n">
        <v>325000</v>
      </c>
      <c r="G97" s="4" t="inlineStr">
        <is>
          <t>FOR CORE OPERATING SUPPORT TO BRING CRITICAL RESOURCES TO UNDERSERVED AND MARGIN</t>
        </is>
      </c>
      <c r="H97" s="4" t="n">
        <v>2019</v>
      </c>
    </row>
    <row r="98">
      <c r="B98" s="4" t="inlineStr">
        <is>
          <t>Horizons</t>
        </is>
      </c>
      <c r="C98" s="4" t="inlineStr">
        <is>
          <t>THE CALIFORNIA WELLNESS FOUNDATION</t>
        </is>
      </c>
      <c r="D98" s="4" t="inlineStr">
        <is>
          <t>HORIZONS FOUNDATION</t>
        </is>
      </c>
      <c r="E98" s="4" t="inlineStr">
        <is>
          <t>CA</t>
        </is>
      </c>
      <c r="F98" s="6" t="n">
        <v>405000</v>
      </c>
      <c r="G98" s="4" t="inlineStr">
        <is>
          <t>FOR CORE OPERATING SUPPORT TO BRING WELLNESS AND CRITICAL RESOURCES TO UNDERSERV</t>
        </is>
      </c>
      <c r="H98" s="4" t="n">
        <v>2023</v>
      </c>
    </row>
    <row r="99">
      <c r="B99" s="4" t="inlineStr">
        <is>
          <t>Horizons</t>
        </is>
      </c>
      <c r="C99" s="4" t="inlineStr">
        <is>
          <t>The Webber Family Foundation</t>
        </is>
      </c>
      <c r="D99" s="4" t="inlineStr">
        <is>
          <t>HORIZONS GREATER WASHINGTON INC</t>
        </is>
      </c>
      <c r="E99" s="4" t="inlineStr">
        <is>
          <t>DC</t>
        </is>
      </c>
      <c r="F99" s="6" t="n">
        <v>2000</v>
      </c>
      <c r="G99" s="4" t="inlineStr">
        <is>
          <t>Support tuition-free academic programs for students in under-resourced communiti</t>
        </is>
      </c>
      <c r="H99" s="4" t="n">
        <v>2020</v>
      </c>
    </row>
    <row r="100">
      <c r="B100" s="4" t="inlineStr">
        <is>
          <t>Horizons</t>
        </is>
      </c>
      <c r="C100" s="4" t="inlineStr">
        <is>
          <t>JACK KENT COOKE FOUNDATION</t>
        </is>
      </c>
      <c r="D100" s="4" t="inlineStr">
        <is>
          <t>HORIZONS GREATER WASHINGTON INC</t>
        </is>
      </c>
      <c r="E100" s="4" t="inlineStr">
        <is>
          <t>DC</t>
        </is>
      </c>
      <c r="F100" s="6" t="n">
        <v>18460</v>
      </c>
      <c r="G100" s="4" t="inlineStr">
        <is>
          <t>SUPPORT HORIZONS GREATER WASHINGTON'S ACADEMIC SUMMER ENRICHMENT PROGRAM.</t>
        </is>
      </c>
      <c r="H100" s="4" t="n">
        <v>2021</v>
      </c>
    </row>
    <row r="101">
      <c r="B101" s="4" t="inlineStr">
        <is>
          <t>Horizons</t>
        </is>
      </c>
      <c r="C101" s="4" t="inlineStr">
        <is>
          <t>THE PELINO CHARITABLE FOUNDATION</t>
        </is>
      </c>
      <c r="D101" s="4" t="inlineStr">
        <is>
          <t>HORIZONS FOR YOUTH</t>
        </is>
      </c>
      <c r="E101" s="4" t="inlineStr">
        <is>
          <t>IL</t>
        </is>
      </c>
      <c r="F101" s="6" t="n">
        <v>10000</v>
      </c>
      <c r="G101" s="4" t="inlineStr">
        <is>
          <t>SUMMER ACADEMIC PROGRAM FOCUSING ON DIVERSE LEARNERS</t>
        </is>
      </c>
      <c r="H101" s="4" t="n">
        <v>2020</v>
      </c>
    </row>
    <row r="102">
      <c r="B102" s="4" t="inlineStr">
        <is>
          <t>Horizons</t>
        </is>
      </c>
      <c r="C102" s="4" t="inlineStr">
        <is>
          <t>CLOUDBREAK FOUNDATION INC</t>
        </is>
      </c>
      <c r="D102" s="4" t="inlineStr">
        <is>
          <t>HORIZONS GREATER WASHINGTON INC</t>
        </is>
      </c>
      <c r="E102" s="4" t="inlineStr">
        <is>
          <t>DC</t>
        </is>
      </c>
      <c r="F102" s="6" t="n">
        <v>10000</v>
      </c>
      <c r="G102" s="4" t="inlineStr">
        <is>
          <t>Children's summer program</t>
        </is>
      </c>
      <c r="H102" s="4" t="n">
        <v>2022</v>
      </c>
    </row>
    <row r="103">
      <c r="B103" s="4" t="inlineStr">
        <is>
          <t>Horizons</t>
        </is>
      </c>
      <c r="C103" s="4" t="inlineStr">
        <is>
          <t>JACK AND ANNE GLENN CHAR FDN</t>
        </is>
      </c>
      <c r="D103" s="4" t="inlineStr">
        <is>
          <t>HORIZONS ATLANTA INC</t>
        </is>
      </c>
      <c r="E103" s="4" t="inlineStr">
        <is>
          <t>GA</t>
        </is>
      </c>
      <c r="F103" s="6" t="n">
        <v>15000</v>
      </c>
      <c r="G103" s="4" t="inlineStr">
        <is>
          <t>ACADEMIC ENRICHMENT</t>
        </is>
      </c>
      <c r="H103" s="4" t="n">
        <v>2023</v>
      </c>
    </row>
    <row r="104">
      <c r="B104" s="4" t="inlineStr">
        <is>
          <t>Friendship Circle</t>
        </is>
      </c>
      <c r="C104" s="4" t="inlineStr">
        <is>
          <t>STANLEY W EKSTROM FOUNDATION INC</t>
        </is>
      </c>
      <c r="D104" s="4" t="inlineStr">
        <is>
          <t>FRIENDSHIP CIRCLE</t>
        </is>
      </c>
      <c r="E104" s="4" t="inlineStr">
        <is>
          <t>CA</t>
        </is>
      </c>
      <c r="F104" s="6" t="n">
        <v>5000</v>
      </c>
      <c r="G104" s="4" t="inlineStr">
        <is>
          <t>TO PROVIDE ASSISTANCE AND SUPPORT TO THE FAMILIES OF CHILDREN WITH SPECIAL NEEDS</t>
        </is>
      </c>
      <c r="H104" s="4" t="n">
        <v>2020</v>
      </c>
    </row>
    <row r="105">
      <c r="B105" s="4" t="inlineStr">
        <is>
          <t>Friendship Circle</t>
        </is>
      </c>
      <c r="C105" s="4" t="inlineStr">
        <is>
          <t>RUSSELL J SALVATORE FOUNDATION</t>
        </is>
      </c>
      <c r="D105" s="4" t="inlineStr">
        <is>
          <t>THE FRIENDSHIP FOUNDATION</t>
        </is>
      </c>
      <c r="E105" s="4" t="inlineStr">
        <is>
          <t>CA</t>
        </is>
      </c>
      <c r="F105" s="6" t="n">
        <v>10000</v>
      </c>
      <c r="G105" s="4" t="inlineStr">
        <is>
          <t>RECREATIONAL PROGRAMS FOR PHYSICALLY DISABLED CHILDREN</t>
        </is>
      </c>
      <c r="H105" s="4" t="n">
        <v>2018</v>
      </c>
    </row>
    <row r="106">
      <c r="B106" s="4" t="inlineStr">
        <is>
          <t>Friendship Circle</t>
        </is>
      </c>
      <c r="C106" s="4" t="inlineStr">
        <is>
          <t>OAK TREE CHARITABLE FOUNDATION</t>
        </is>
      </c>
      <c r="D106" s="4" t="inlineStr">
        <is>
          <t>SUNFLOWER HILL</t>
        </is>
      </c>
      <c r="E106" s="4" t="inlineStr">
        <is>
          <t>CA</t>
        </is>
      </c>
      <c r="F106" s="6" t="n">
        <v>2000</v>
      </c>
      <c r="G106" s="4" t="inlineStr">
        <is>
          <t>SUPPORT FOR SPECIAL NEEDS INDIVIDUALS</t>
        </is>
      </c>
      <c r="H106" s="4" t="n">
        <v>2018</v>
      </c>
    </row>
    <row r="107">
      <c r="B107" s="4" t="inlineStr">
        <is>
          <t>Friendship Circle</t>
        </is>
      </c>
      <c r="C107" s="4" t="inlineStr">
        <is>
          <t>Anschutz Family Foundation</t>
        </is>
      </c>
      <c r="D107" s="4" t="inlineStr">
        <is>
          <t>BRECKENRIDGE OUTDOOR EDUCATION CENTER</t>
        </is>
      </c>
      <c r="E107" s="4" t="inlineStr">
        <is>
          <t>CO</t>
        </is>
      </c>
      <c r="F107" s="6" t="n">
        <v>7500</v>
      </c>
      <c r="G107" s="4" t="inlineStr">
        <is>
          <t>General operating support for accessible and affordable outdoor programs for low</t>
        </is>
      </c>
      <c r="H107" s="4" t="n">
        <v>2020</v>
      </c>
    </row>
    <row r="108">
      <c r="B108" s="4" t="inlineStr">
        <is>
          <t>Friendship Circle</t>
        </is>
      </c>
      <c r="C108" s="4" t="inlineStr">
        <is>
          <t>Anschutz Family Foundation</t>
        </is>
      </c>
      <c r="D108" s="4" t="inlineStr">
        <is>
          <t>BRECKENRIDGE OUTDOOR EDUCATION CENTER</t>
        </is>
      </c>
      <c r="E108" s="4" t="inlineStr">
        <is>
          <t>CO</t>
        </is>
      </c>
      <c r="F108" s="6" t="n">
        <v>7500</v>
      </c>
      <c r="G108" s="4" t="inlineStr">
        <is>
          <t>General operating support for accessible and affordable outdoor programs for low</t>
        </is>
      </c>
      <c r="H108" s="4" t="n">
        <v>2021</v>
      </c>
    </row>
    <row r="109">
      <c r="B109" s="4" t="inlineStr">
        <is>
          <t>Friendship Circle</t>
        </is>
      </c>
      <c r="C109" s="4" t="inlineStr">
        <is>
          <t>RICHARD REED FOUNDATION</t>
        </is>
      </c>
      <c r="D109" s="4" t="inlineStr">
        <is>
          <t>BRECKENRIDGE OUTDOOR EDUCATION CENTER</t>
        </is>
      </c>
      <c r="E109" s="4" t="inlineStr">
        <is>
          <t>CO</t>
        </is>
      </c>
      <c r="F109" s="6" t="n">
        <v>21500</v>
      </c>
      <c r="G109" s="4" t="inlineStr">
        <is>
          <t>OUTDOOR RECREATION FOR PEOPLE WITH SPECIAL NEEDS &amp; DISABILITIES</t>
        </is>
      </c>
      <c r="H109" s="4" t="n">
        <v>2023</v>
      </c>
    </row>
    <row r="110">
      <c r="B110" s="4" t="inlineStr">
        <is>
          <t>Friendship Circle</t>
        </is>
      </c>
      <c r="C110" s="4" t="inlineStr">
        <is>
          <t>RICHARD REED FOUNDATION</t>
        </is>
      </c>
      <c r="D110" s="4" t="inlineStr">
        <is>
          <t>BRECKENRIDGE OUTDOOR EDUCATION CENTER</t>
        </is>
      </c>
      <c r="E110" s="4" t="inlineStr">
        <is>
          <t>CO</t>
        </is>
      </c>
      <c r="F110" s="6" t="n">
        <v>20000</v>
      </c>
      <c r="G110" s="4" t="inlineStr">
        <is>
          <t>OUTDOOR RECREATION FOR PEOPLE WITH SPECIAL NEEDS &amp; DISABILITIES</t>
        </is>
      </c>
      <c r="H110" s="4" t="n">
        <v>2022</v>
      </c>
    </row>
    <row r="111">
      <c r="B111" s="4" t="inlineStr">
        <is>
          <t>Friendship Circle</t>
        </is>
      </c>
      <c r="C111" s="4" t="inlineStr">
        <is>
          <t>CAROLYN SMITH FOUNDATION</t>
        </is>
      </c>
      <c r="D111" s="4" t="inlineStr">
        <is>
          <t>FRIENDS LIFE COMMUNITY</t>
        </is>
      </c>
      <c r="E111" s="4" t="inlineStr">
        <is>
          <t>TN</t>
        </is>
      </c>
      <c r="F111" s="6" t="n">
        <v>2500</v>
      </c>
      <c r="G111" s="4" t="inlineStr">
        <is>
          <t>SUPPORT TO DEVELOPMENTAL DISABLED</t>
        </is>
      </c>
      <c r="H111" s="4" t="n">
        <v>2022</v>
      </c>
    </row>
    <row r="112">
      <c r="B112" s="4" t="inlineStr">
        <is>
          <t>Friendship Circle</t>
        </is>
      </c>
      <c r="C112" s="4" t="inlineStr">
        <is>
          <t>CAROLYN SMITH FOUNDATION</t>
        </is>
      </c>
      <c r="D112" s="4" t="inlineStr">
        <is>
          <t>FRIENDS LIFE COMMUNITY</t>
        </is>
      </c>
      <c r="E112" s="4" t="inlineStr">
        <is>
          <t>TN</t>
        </is>
      </c>
      <c r="F112" s="6" t="n">
        <v>2500</v>
      </c>
      <c r="G112" s="4" t="inlineStr">
        <is>
          <t>SUPPORT TO DEVELOPMENTAL DISABLED</t>
        </is>
      </c>
      <c r="H112" s="4" t="n">
        <v>2023</v>
      </c>
    </row>
    <row r="113">
      <c r="B113" s="4" t="inlineStr">
        <is>
          <t>Friendship Circle</t>
        </is>
      </c>
      <c r="C113" s="4" t="inlineStr">
        <is>
          <t>Umpqua Bank Charitable Foundation</t>
        </is>
      </c>
      <c r="D113" s="4" t="inlineStr">
        <is>
          <t>CIVITAN FOUDATION INC</t>
        </is>
      </c>
      <c r="E113" s="4" t="inlineStr">
        <is>
          <t>AZ</t>
        </is>
      </c>
      <c r="F113" s="6" t="n">
        <v>6000</v>
      </c>
      <c r="G113" s="4" t="inlineStr">
        <is>
          <t>Workforce Development and Inclusion for Developmentally Disabled Phoenix Residen</t>
        </is>
      </c>
      <c r="H113" s="4" t="n">
        <v>2024</v>
      </c>
    </row>
    <row r="114">
      <c r="B114" s="4" t="inlineStr">
        <is>
          <t>Friendship Circle</t>
        </is>
      </c>
      <c r="C114" s="4" t="inlineStr">
        <is>
          <t>JUNE &amp; JULIAN FOSS FOUNDATION</t>
        </is>
      </c>
      <c r="D114" s="4" t="inlineStr">
        <is>
          <t>CIVITAN FOUDATION INC</t>
        </is>
      </c>
      <c r="E114" s="4" t="inlineStr">
        <is>
          <t>AZ</t>
        </is>
      </c>
      <c r="F114" s="6" t="n">
        <v>5000</v>
      </c>
      <c r="G114" s="4" t="inlineStr">
        <is>
          <t>CAMP CIVITAN SUPPORT FOR LOW-INCOME ARIZONA YOUTH WITH DISABILITIES</t>
        </is>
      </c>
      <c r="H114" s="4" t="n">
        <v>2020</v>
      </c>
    </row>
    <row r="115">
      <c r="B115" s="4" t="inlineStr">
        <is>
          <t>Friendship Circle</t>
        </is>
      </c>
      <c r="C115" s="4" t="inlineStr">
        <is>
          <t>DENTON FOUNDATION INC</t>
        </is>
      </c>
      <c r="D115" s="4" t="inlineStr">
        <is>
          <t>PROJECT ID INC</t>
        </is>
      </c>
      <c r="E115" s="4" t="inlineStr">
        <is>
          <t>WA</t>
        </is>
      </c>
      <c r="F115" s="6" t="n">
        <v>1000</v>
      </c>
      <c r="G115" s="4" t="inlineStr">
        <is>
          <t>PERSONS WITH DISABILITIES ASSISTANCE PROGRAM</t>
        </is>
      </c>
      <c r="H115" s="4" t="n">
        <v>2020</v>
      </c>
    </row>
    <row r="116">
      <c r="B116" s="4" t="inlineStr">
        <is>
          <t>Friendship Circle</t>
        </is>
      </c>
      <c r="C116" s="4" t="inlineStr">
        <is>
          <t>THE GLORIA ESTEFAN FOUNDATION INC</t>
        </is>
      </c>
      <c r="D116" s="4" t="inlineStr">
        <is>
          <t>FUNDACION TELETON USA</t>
        </is>
      </c>
      <c r="E116" s="4" t="inlineStr">
        <is>
          <t>TX</t>
        </is>
      </c>
      <c r="F116" s="6" t="n">
        <v>10000</v>
      </c>
      <c r="G116" s="4" t="inlineStr">
        <is>
          <t>PROVIDE REHABILITATION SERVICES TO CHILDREN WITH DISABILITIES IN USA</t>
        </is>
      </c>
      <c r="H116" s="4" t="n">
        <v>2023</v>
      </c>
    </row>
    <row r="117">
      <c r="B117" t="inlineStr">
        <is>
          <t>PSMF</t>
        </is>
      </c>
      <c r="C117" t="inlineStr">
        <is>
          <t>The Schooner Foundation</t>
        </is>
      </c>
      <c r="D117" t="inlineStr">
        <is>
          <t>HERE RIGHT MATTERS</t>
        </is>
      </c>
      <c r="E117" t="inlineStr">
        <is>
          <t>VA</t>
        </is>
      </c>
      <c r="F117" t="n">
        <v>500000</v>
      </c>
      <c r="G117" t="inlineStr">
        <is>
          <t>Ukraine Medic Education</t>
        </is>
      </c>
      <c r="H117" t="n">
        <v>2023</v>
      </c>
    </row>
    <row r="118">
      <c r="B118" t="inlineStr">
        <is>
          <t>PSMF</t>
        </is>
      </c>
      <c r="C118" t="inlineStr">
        <is>
          <t>The Schooner Foundation</t>
        </is>
      </c>
      <c r="D118" t="inlineStr">
        <is>
          <t>STATE LEADERSHIP PROJECT</t>
        </is>
      </c>
      <c r="E118" t="inlineStr">
        <is>
          <t>NC</t>
        </is>
      </c>
      <c r="F118" t="n">
        <v>500000</v>
      </c>
      <c r="G118" t="inlineStr">
        <is>
          <t>Strategic Victory Fund's Megaphone Program</t>
        </is>
      </c>
      <c r="H118" t="n">
        <v>2023</v>
      </c>
    </row>
    <row r="119">
      <c r="B119" t="inlineStr">
        <is>
          <t>PSMF</t>
        </is>
      </c>
      <c r="C119" t="inlineStr">
        <is>
          <t>The Schooner Foundation</t>
        </is>
      </c>
      <c r="D119" t="inlineStr">
        <is>
          <t>TRUSTEES OF BOSTON UNIVERSITY</t>
        </is>
      </c>
      <c r="E119" t="inlineStr">
        <is>
          <t>MA</t>
        </is>
      </c>
      <c r="F119" t="n">
        <v>500000</v>
      </c>
      <c r="G119" t="inlineStr">
        <is>
          <t>BU Center for Forced Displacement</t>
        </is>
      </c>
      <c r="H119" t="n">
        <v>2023</v>
      </c>
    </row>
    <row r="120">
      <c r="B120" t="inlineStr">
        <is>
          <t>PSMF</t>
        </is>
      </c>
      <c r="C120" t="inlineStr">
        <is>
          <t>The Commonwealth Fund</t>
        </is>
      </c>
      <c r="D120" t="inlineStr">
        <is>
          <t>COMMONWEALTH FUND</t>
        </is>
      </c>
      <c r="E120" t="inlineStr">
        <is>
          <t>NY</t>
        </is>
      </c>
      <c r="F120" t="n">
        <v>2317858</v>
      </c>
      <c r="G120" t="inlineStr">
        <is>
          <t>Harkness Fellowships in Health Care Policy and Practice, 2023-24</t>
        </is>
      </c>
      <c r="H120" t="n">
        <v>2023</v>
      </c>
    </row>
    <row r="121">
      <c r="B121" t="inlineStr">
        <is>
          <t>PSMF</t>
        </is>
      </c>
      <c r="C121" t="inlineStr">
        <is>
          <t>The Commonwealth Fund</t>
        </is>
      </c>
      <c r="D121" t="inlineStr">
        <is>
          <t>PRESIDENT AND FELLOWS OF HARVARD COLLEGE</t>
        </is>
      </c>
      <c r="E121" t="inlineStr">
        <is>
          <t>MA</t>
        </is>
      </c>
      <c r="F121" t="n">
        <v>853202</v>
      </c>
      <c r="G121" t="inlineStr">
        <is>
          <t>The Commonwealth Fund Fellowship in Minority Health Policy at Harvard University</t>
        </is>
      </c>
      <c r="H121" t="n">
        <v>2023</v>
      </c>
    </row>
    <row r="122">
      <c r="B122" t="inlineStr">
        <is>
          <t>PSMF</t>
        </is>
      </c>
      <c r="C122" t="inlineStr">
        <is>
          <t>The Commonwealth Fund</t>
        </is>
      </c>
      <c r="D122" t="inlineStr">
        <is>
          <t>GEORGETOWN UNIVERSITY</t>
        </is>
      </c>
      <c r="E122" t="inlineStr">
        <is>
          <t>DC</t>
        </is>
      </c>
      <c r="F122" t="n">
        <v>632272</v>
      </c>
      <c r="G122" t="inlineStr">
        <is>
          <t>Monitoring and Analysis of Private Insurance Reforms, Year 13</t>
        </is>
      </c>
      <c r="H122" t="n">
        <v>2023</v>
      </c>
    </row>
    <row r="123">
      <c r="B123" t="inlineStr">
        <is>
          <t>PSMF</t>
        </is>
      </c>
      <c r="C123" t="inlineStr">
        <is>
          <t>THE JOHN A HARTFORD FOUNDATION INC</t>
        </is>
      </c>
      <c r="D123" t="inlineStr">
        <is>
          <t>INSTITUTE FOR HEALTHCARE IMPROVEMENT</t>
        </is>
      </c>
      <c r="E123" t="inlineStr">
        <is>
          <t>MA</t>
        </is>
      </c>
      <c r="F123" t="n">
        <v>2145256</v>
      </c>
      <c r="G123" t="inlineStr">
        <is>
          <t>Safe Passage: Implementing Safe and Reliable Care for the Elderly Across the Con</t>
        </is>
      </c>
      <c r="H123" t="n">
        <v>2023</v>
      </c>
    </row>
    <row r="124">
      <c r="B124" t="inlineStr">
        <is>
          <t>PSMF</t>
        </is>
      </c>
      <c r="C124" t="inlineStr">
        <is>
          <t>THE JOHN A HARTFORD FOUNDATION INC</t>
        </is>
      </c>
      <c r="D124" t="inlineStr">
        <is>
          <t>HEALTH CAREERS FUTURES</t>
        </is>
      </c>
      <c r="E124" t="inlineStr">
        <is>
          <t>PA</t>
        </is>
      </c>
      <c r="F124" t="n">
        <v>1585880</v>
      </c>
      <c r="G124" t="inlineStr">
        <is>
          <t>Revisiting the Teaching Nursing Home</t>
        </is>
      </c>
      <c r="H124" t="n">
        <v>2023</v>
      </c>
    </row>
    <row r="125">
      <c r="B125" t="inlineStr">
        <is>
          <t>PSMF</t>
        </is>
      </c>
      <c r="C125" t="inlineStr">
        <is>
          <t>THE JOHN A HARTFORD FOUNDATION INC</t>
        </is>
      </c>
      <c r="D125" t="inlineStr">
        <is>
          <t>USAGING</t>
        </is>
      </c>
      <c r="E125" t="inlineStr">
        <is>
          <t>DC</t>
        </is>
      </c>
      <c r="F125" t="n">
        <v>998320</v>
      </c>
      <c r="G125" t="inlineStr">
        <is>
          <t>Building the Capacity of the Aging and Disability Networks to Ensure the Deliver</t>
        </is>
      </c>
      <c r="H125" t="n">
        <v>2023</v>
      </c>
    </row>
    <row r="126">
      <c r="B126" t="inlineStr">
        <is>
          <t>PSMF</t>
        </is>
      </c>
      <c r="C126" t="inlineStr">
        <is>
          <t>JOSIAH MACY JR FOUNDATION</t>
        </is>
      </c>
      <c r="D126" t="inlineStr">
        <is>
          <t>UNIVERSITY OF SOUTHERN CALIFORNIA</t>
        </is>
      </c>
      <c r="E126" t="inlineStr">
        <is>
          <t>CA</t>
        </is>
      </c>
      <c r="F126" t="n">
        <v>140000</v>
      </c>
      <c r="G126" t="inlineStr">
        <is>
          <t>TO SUPPORT THE WORK AS A JOSIAH MACY JR. FOUNDATION, MACY FACULTY SCHOLAR</t>
        </is>
      </c>
      <c r="H126" t="n">
        <v>2022</v>
      </c>
    </row>
    <row r="127">
      <c r="B127" t="inlineStr">
        <is>
          <t>PSMF</t>
        </is>
      </c>
      <c r="C127" t="inlineStr">
        <is>
          <t>JOSIAH MACY JR FOUNDATION</t>
        </is>
      </c>
      <c r="D127" t="inlineStr">
        <is>
          <t>THE DENVER HEALTH AND HOSPITALS FOUNDATI</t>
        </is>
      </c>
      <c r="E127" t="inlineStr">
        <is>
          <t>CO</t>
        </is>
      </c>
      <c r="F127" t="n">
        <v>138200</v>
      </c>
      <c r="G127" t="inlineStr">
        <is>
          <t>TO SUPPORT THE WORK AS A JOSIAH MACY JR. FOUNDATION, MACY FACULTY SCHOLAR</t>
        </is>
      </c>
      <c r="H127" t="n">
        <v>2022</v>
      </c>
    </row>
    <row r="128">
      <c r="B128" t="inlineStr">
        <is>
          <t>PSMF</t>
        </is>
      </c>
      <c r="C128" t="inlineStr">
        <is>
          <t>JOSIAH MACY JR FOUNDATION</t>
        </is>
      </c>
      <c r="D128" t="inlineStr">
        <is>
          <t>UNIVERSITY OF WASHINGTON</t>
        </is>
      </c>
      <c r="E128" t="inlineStr">
        <is>
          <t>WA</t>
        </is>
      </c>
      <c r="F128" t="n">
        <v>133200</v>
      </c>
      <c r="G128" t="inlineStr">
        <is>
          <t>TO SUPPORT THE WORK AS A JOSIAH MACY JR. FOUNDATION, MACY FACULTY SCHOLAR</t>
        </is>
      </c>
      <c r="H128" t="n">
        <v>2022</v>
      </c>
    </row>
    <row r="129">
      <c r="B129" t="inlineStr">
        <is>
          <t>PSMF</t>
        </is>
      </c>
      <c r="C129" t="inlineStr">
        <is>
          <t>WK Kellogg Foundation</t>
        </is>
      </c>
      <c r="E129" t="inlineStr">
        <is>
          <t>MI</t>
        </is>
      </c>
      <c r="F129" t="n">
        <v>4650000</v>
      </c>
      <c r="G129" t="inlineStr">
        <is>
          <t>Early Care and Education</t>
        </is>
      </c>
      <c r="H129" t="n">
        <v>2023</v>
      </c>
    </row>
    <row r="130">
      <c r="B130" t="inlineStr">
        <is>
          <t>PSMF</t>
        </is>
      </c>
      <c r="C130" t="inlineStr">
        <is>
          <t>WK Kellogg Foundation</t>
        </is>
      </c>
      <c r="D130" t="inlineStr">
        <is>
          <t>CENTER FOR CREATIVE LEADERSHIP</t>
        </is>
      </c>
      <c r="E130" t="inlineStr">
        <is>
          <t>NC</t>
        </is>
      </c>
      <c r="F130" t="n">
        <v>4606375</v>
      </c>
      <c r="G130" t="inlineStr">
        <is>
          <t>Promise of an Equitable Future</t>
        </is>
      </c>
      <c r="H130" t="n">
        <v>2023</v>
      </c>
    </row>
    <row r="131">
      <c r="B131" t="inlineStr">
        <is>
          <t>PSMF</t>
        </is>
      </c>
      <c r="C131" t="inlineStr">
        <is>
          <t>WK Kellogg Foundation</t>
        </is>
      </c>
      <c r="D131" t="inlineStr">
        <is>
          <t>GRAND VALLEY STATE UNIVERSITY</t>
        </is>
      </c>
      <c r="E131" t="inlineStr">
        <is>
          <t>MI</t>
        </is>
      </c>
      <c r="F131" t="n">
        <v>3500000</v>
      </c>
      <c r="G131" t="inlineStr">
        <is>
          <t>Jobs and Family Economic Security</t>
        </is>
      </c>
      <c r="H131" t="n">
        <v>2023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O18"/>
  <sheetViews>
    <sheetView zoomScale="12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35" customWidth="1" min="3" max="3"/>
    <col width="12" customWidth="1" min="4" max="4"/>
    <col width="6" customWidth="1" min="5" max="5"/>
    <col width="10" customWidth="1" min="6" max="6"/>
    <col width="12" customWidth="1" min="7" max="7"/>
    <col width="25" customWidth="1" min="8" max="8"/>
    <col width="30" customWidth="1" min="9" max="9"/>
    <col width="40" customWidth="1" min="10" max="10"/>
    <col width="20" customWidth="1" min="11" max="11"/>
    <col width="25" customWidth="1" min="12" max="12"/>
    <col width="50" customWidth="1" min="13" max="13"/>
    <col width="50" customWidth="1" min="14" max="14"/>
    <col width="35" customWidth="1" min="15" max="15"/>
  </cols>
  <sheetData>
    <row r="2">
      <c r="B2" s="10" t="inlineStr">
        <is>
          <t>Client</t>
        </is>
      </c>
      <c r="C2" s="10" t="inlineStr">
        <is>
          <t>Foundation Name</t>
        </is>
      </c>
      <c r="D2" s="10" t="inlineStr">
        <is>
          <t>EIN</t>
        </is>
      </c>
      <c r="E2" s="10" t="inlineStr">
        <is>
          <t>State</t>
        </is>
      </c>
      <c r="F2" s="10" t="inlineStr">
        <is>
          <t>Assets</t>
        </is>
      </c>
      <c r="G2" s="10" t="inlineStr">
        <is>
          <t>Verification Status</t>
        </is>
      </c>
      <c r="H2" s="10" t="inlineStr">
        <is>
          <t>Accepts Applications</t>
        </is>
      </c>
      <c r="I2" s="10" t="inlineStr">
        <is>
          <t>Geographic Focus</t>
        </is>
      </c>
      <c r="J2" s="10" t="inlineStr">
        <is>
          <t>Funding Priorities</t>
        </is>
      </c>
      <c r="K2" s="10" t="inlineStr">
        <is>
          <t>Grant Range</t>
        </is>
      </c>
      <c r="L2" s="10" t="inlineStr">
        <is>
          <t>Cause Area Match</t>
        </is>
      </c>
      <c r="M2" s="10" t="inlineStr">
        <is>
          <t>Reason for Status</t>
        </is>
      </c>
      <c r="N2" s="10" t="inlineStr">
        <is>
          <t>Source/How Verified</t>
        </is>
      </c>
      <c r="O2" s="10" t="inlineStr">
        <is>
          <t>Recommendation</t>
        </is>
      </c>
    </row>
    <row r="3">
      <c r="B3" s="11" t="inlineStr">
        <is>
          <t>SNS</t>
        </is>
      </c>
      <c r="C3" s="11" t="inlineStr">
        <is>
          <t>Archstone Foundation</t>
        </is>
      </c>
      <c r="D3" s="11" t="inlineStr">
        <is>
          <t>330133359</t>
        </is>
      </c>
      <c r="E3" s="11" t="inlineStr">
        <is>
          <t>CA</t>
        </is>
      </c>
      <c r="F3" s="11" t="inlineStr">
        <is>
          <t>$107M</t>
        </is>
      </c>
      <c r="G3" s="12" t="inlineStr">
        <is>
          <t>MAYBE</t>
        </is>
      </c>
      <c r="H3" s="11" t="inlineStr">
        <is>
          <t>RFP-Based / Semi-Invite</t>
        </is>
      </c>
      <c r="I3" s="11" t="inlineStr">
        <is>
          <t>California only</t>
        </is>
      </c>
      <c r="J3" s="11" t="inlineStr">
        <is>
          <t>Integrated care for older adults, capacity building, health/social services coordination</t>
        </is>
      </c>
      <c r="K3" s="11" t="inlineStr">
        <is>
          <t>Up to $50K (capacity building); $5K-$300K+ (other)</t>
        </is>
      </c>
      <c r="L3" s="11" t="inlineStr">
        <is>
          <t>YES - Exclusively senior/aging focused</t>
        </is>
      </c>
      <c r="M3" s="11" t="inlineStr">
        <is>
          <t>Excellent mission alignment but requires RFP timing and screening questionnaire. Capacity building grants cap at $50K, below SNS target.</t>
        </is>
      </c>
      <c r="N3" s="11" t="inlineStr">
        <is>
          <t>archstone.org - Reviewed funding priorities, capacity building RFP page, grant eligibility requirements</t>
        </is>
      </c>
      <c r="O3" s="12" t="inlineStr">
        <is>
          <t>MAYBE - Monitor for RFP opportunities</t>
        </is>
      </c>
    </row>
    <row r="4">
      <c r="B4" s="11" t="inlineStr">
        <is>
          <t>SNS</t>
        </is>
      </c>
      <c r="C4" s="11" t="inlineStr">
        <is>
          <t>Senior Assistance Foundation Eastbay (SAFE)</t>
        </is>
      </c>
      <c r="D4" s="11" t="inlineStr">
        <is>
          <t>941652296</t>
        </is>
      </c>
      <c r="E4" s="11" t="inlineStr">
        <is>
          <t>CA</t>
        </is>
      </c>
      <c r="F4" s="11" t="inlineStr">
        <is>
          <t>$28M</t>
        </is>
      </c>
      <c r="G4" s="13" t="inlineStr">
        <is>
          <t>PURSUE</t>
        </is>
      </c>
      <c r="H4" s="11" t="inlineStr">
        <is>
          <t>Yes - Unsolicited LOI accepted</t>
        </is>
      </c>
      <c r="I4" s="11" t="inlineStr">
        <is>
          <t>East Bay only (Alameda, Contra Costa Counties)</t>
        </is>
      </c>
      <c r="J4" s="11" t="inlineStr">
        <is>
          <t>Services for low-income seniors; housing and related services</t>
        </is>
      </c>
      <c r="K4" s="11" t="inlineStr">
        <is>
          <t>$125K-$250K typical</t>
        </is>
      </c>
      <c r="L4" s="11" t="inlineStr">
        <is>
          <t>YES - Exclusively senior-focused</t>
        </is>
      </c>
      <c r="M4" s="11" t="inlineStr">
        <is>
          <t>Excellent fit IF SNS serves East Bay counties. Open applications, senior focus, grant sizes align with $100K-$500K target.</t>
        </is>
      </c>
      <c r="N4" s="11" t="inlineStr">
        <is>
          <t>safeastbay.org - Reviewed grants page, application process, geographic eligibility</t>
        </is>
      </c>
      <c r="O4" s="13" t="inlineStr">
        <is>
          <t>PURSUE (if serves East Bay)</t>
        </is>
      </c>
    </row>
    <row r="5">
      <c r="B5" s="11" t="inlineStr">
        <is>
          <t>SNS</t>
        </is>
      </c>
      <c r="C5" s="11" t="inlineStr">
        <is>
          <t>Carrie Estelle Doheny Foundation</t>
        </is>
      </c>
      <c r="D5" s="11" t="inlineStr">
        <is>
          <t>956202911</t>
        </is>
      </c>
      <c r="E5" s="11" t="inlineStr">
        <is>
          <t>CA</t>
        </is>
      </c>
      <c r="F5" s="11" t="inlineStr">
        <is>
          <t>$200M</t>
        </is>
      </c>
      <c r="G5" s="12" t="inlineStr">
        <is>
          <t>MAYBE</t>
        </is>
      </c>
      <c r="H5" s="11" t="inlineStr">
        <is>
          <t>Yes (but prefers 10+ year relationships)</t>
        </is>
      </c>
      <c r="I5" s="11" t="inlineStr">
        <is>
          <t>Los Angeles County ONLY</t>
        </is>
      </c>
      <c r="J5" s="11" t="inlineStr">
        <is>
          <t>Social welfare, health/wellness, education, religion (Catholic focus). Senior assistance listed.</t>
        </is>
      </c>
      <c r="K5" s="11" t="inlineStr">
        <is>
          <t>$25K-$40K typical for seniors</t>
        </is>
      </c>
      <c r="L5" s="11" t="inlineStr">
        <is>
          <t>YES - Has senior assistance category</t>
        </is>
      </c>
      <c r="M5" s="11" t="inlineStr">
        <is>
          <t>LA County geographic restriction. Strongly prefers long-standing grantees. Grant sizes smaller than target.</t>
        </is>
      </c>
      <c r="N5" s="11" t="inlineStr">
        <is>
          <t>dohenyfoundation.org - Reviewed grant eligibility, FAQ, application requirements</t>
        </is>
      </c>
      <c r="O5" s="12" t="inlineStr">
        <is>
          <t>MAYBE (if LA County + long-term relationship)</t>
        </is>
      </c>
    </row>
    <row r="6">
      <c r="B6" s="11" t="inlineStr">
        <is>
          <t>SNS</t>
        </is>
      </c>
      <c r="C6" s="11" t="inlineStr">
        <is>
          <t>California Wellness Foundation</t>
        </is>
      </c>
      <c r="D6" s="11" t="inlineStr">
        <is>
          <t>954292101</t>
        </is>
      </c>
      <c r="E6" s="11" t="inlineStr">
        <is>
          <t>CA</t>
        </is>
      </c>
      <c r="F6" s="11" t="inlineStr">
        <is>
          <t>$1B</t>
        </is>
      </c>
      <c r="G6" s="12" t="inlineStr">
        <is>
          <t>MAYBE</t>
        </is>
      </c>
      <c r="H6" s="11" t="inlineStr">
        <is>
          <t>PAUSED - Not accepting LOIs until 2026 strategy</t>
        </is>
      </c>
      <c r="I6" s="11" t="inlineStr">
        <is>
          <t>California statewide</t>
        </is>
      </c>
      <c r="J6" s="11" t="inlineStr">
        <is>
          <t>Community well-being, equity in access, economic security. Focus on youth/immigrants, not seniors.</t>
        </is>
      </c>
      <c r="K6" s="11" t="inlineStr">
        <is>
          <t>$94K-$1M</t>
        </is>
      </c>
      <c r="L6" s="11" t="inlineStr">
        <is>
          <t>NO - No explicit senior/aging focus</t>
        </is>
      </c>
      <c r="M6" s="11" t="inlineStr">
        <is>
          <t>Applications paused until 2026 strategy finalized. No senior-specific priority area. Would need to frame around health equity.</t>
        </is>
      </c>
      <c r="N6" s="11" t="inlineStr">
        <is>
          <t>calwellness.org - Reviewed apply page, Q&amp;A, what we fund sections</t>
        </is>
      </c>
      <c r="O6" s="12" t="inlineStr">
        <is>
          <t>MAYBE - Monitor for 2026 reopening</t>
        </is>
      </c>
    </row>
    <row r="7">
      <c r="B7" s="11" t="inlineStr">
        <is>
          <t>SNS</t>
        </is>
      </c>
      <c r="C7" s="11" t="inlineStr">
        <is>
          <t>Blue Shield of CA Foundation</t>
        </is>
      </c>
      <c r="D7" s="11" t="inlineStr">
        <is>
          <t>942822302</t>
        </is>
      </c>
      <c r="E7" s="11" t="inlineStr">
        <is>
          <t>CA</t>
        </is>
      </c>
      <c r="F7" s="11" t="inlineStr">
        <is>
          <t>$77M</t>
        </is>
      </c>
      <c r="G7" s="14" t="inlineStr">
        <is>
          <t>SKIP</t>
        </is>
      </c>
      <c r="H7" s="11" t="inlineStr">
        <is>
          <t>NO - Invite Only</t>
        </is>
      </c>
      <c r="I7" s="11" t="inlineStr">
        <is>
          <t>California statewide</t>
        </is>
      </c>
      <c r="J7" s="11" t="inlineStr">
        <is>
          <t>Health equity, domestic violence prevention, economic security</t>
        </is>
      </c>
      <c r="K7" s="11" t="inlineStr">
        <is>
          <t>N/A (invite only)</t>
        </is>
      </c>
      <c r="L7" s="11" t="inlineStr">
        <is>
          <t>NO - No senior/aging priority</t>
        </is>
      </c>
      <c r="M7" s="11" t="inlineStr">
        <is>
          <t>Explicitly states 'do not accept unsolicited proposals'. No senior focus area. Cannot apply proactively.</t>
        </is>
      </c>
      <c r="N7" s="11" t="inlineStr">
        <is>
          <t>blueshieldcafoundation.org - Reviewed grants page, FAQs, funding opportunities</t>
        </is>
      </c>
      <c r="O7" s="14" t="inlineStr">
        <is>
          <t>SKIP - Invite only</t>
        </is>
      </c>
    </row>
    <row r="8">
      <c r="B8" s="11" t="inlineStr">
        <is>
          <t>SNS</t>
        </is>
      </c>
      <c r="C8" s="11" t="inlineStr">
        <is>
          <t>Harry and Jeanette Weinberg Foundation</t>
        </is>
      </c>
      <c r="D8" s="11" t="inlineStr">
        <is>
          <t>526037034</t>
        </is>
      </c>
      <c r="E8" s="11" t="inlineStr">
        <is>
          <t>MD</t>
        </is>
      </c>
      <c r="F8" s="11" t="inlineStr">
        <is>
          <t>$1.75B</t>
        </is>
      </c>
      <c r="G8" s="12" t="inlineStr">
        <is>
          <t>MAYBE</t>
        </is>
      </c>
      <c r="H8" s="11" t="inlineStr">
        <is>
          <t>NO - Invite Only</t>
        </is>
      </c>
      <c r="I8" s="11" t="inlineStr">
        <is>
          <t>SF Bay Area (in CA) - 9 specific counties</t>
        </is>
      </c>
      <c r="J8" s="11" t="inlineStr">
        <is>
          <t>Housing, Health, Jobs, Education, AGING (core focus area)</t>
        </is>
      </c>
      <c r="K8" s="11" t="inlineStr">
        <is>
          <t>$50K+ standard; up to $50K for small grants</t>
        </is>
      </c>
      <c r="L8" s="11" t="inlineStr">
        <is>
          <t>YES - Aging is one of 5 core focus areas</t>
        </is>
      </c>
      <c r="M8" s="11" t="inlineStr">
        <is>
          <t>Excellent aging/senior mission alignment. But invite-only and Bay Area counties only in California.</t>
        </is>
      </c>
      <c r="N8" s="11" t="inlineStr">
        <is>
          <t>hjweinbergfoundation.org - Reviewed grants page, grant FAQ, where we give</t>
        </is>
      </c>
      <c r="O8" s="12" t="inlineStr">
        <is>
          <t>MAYBE (if Bay Area) - Build relationship via email</t>
        </is>
      </c>
    </row>
    <row r="9">
      <c r="B9" s="11" t="inlineStr">
        <is>
          <t>Friendship Circle</t>
        </is>
      </c>
      <c r="C9" s="11" t="inlineStr">
        <is>
          <t>Mitsubishi Electric America Foundation (MEAF)</t>
        </is>
      </c>
      <c r="D9" s="11" t="inlineStr">
        <is>
          <t>521700855</t>
        </is>
      </c>
      <c r="E9" s="11" t="inlineStr">
        <is>
          <t>VA</t>
        </is>
      </c>
      <c r="F9" s="11" t="inlineStr">
        <is>
          <t>$29M</t>
        </is>
      </c>
      <c r="G9" s="12" t="inlineStr">
        <is>
          <t>MAYBE</t>
        </is>
      </c>
      <c r="H9" s="11" t="inlineStr">
        <is>
          <t>Yes - July 15 to Nov 1 annually</t>
        </is>
      </c>
      <c r="I9" s="11" t="inlineStr">
        <is>
          <t>National scope REQUIRED</t>
        </is>
      </c>
      <c r="J9" s="11" t="inlineStr">
        <is>
          <t>Youth with disabilities, employment skills, employer tools, veterans with disabilities</t>
        </is>
      </c>
      <c r="K9" s="11" t="inlineStr">
        <is>
          <t>$10K-$100K/year for 1-2 years</t>
        </is>
      </c>
      <c r="L9" s="11" t="inlineStr">
        <is>
          <t>YES - Explicit disability + employment focus</t>
        </is>
      </c>
      <c r="M9" s="11" t="inlineStr">
        <is>
          <t>Requires NATIONAL scope or documented plan for national replication. Single-site SD bakery would NOT qualify unless positioned as replicable model.</t>
        </is>
      </c>
      <c r="N9" s="11" t="inlineStr">
        <is>
          <t>us.mitsubishielectric.com/meaf - Reviewed priorities, guidelines, eligibility requirements</t>
        </is>
      </c>
      <c r="O9" s="12" t="inlineStr">
        <is>
          <t>MAYBE - Only if bakery framed as national model</t>
        </is>
      </c>
    </row>
    <row r="10">
      <c r="B10" s="11" t="inlineStr">
        <is>
          <t>Friendship Circle</t>
        </is>
      </c>
      <c r="C10" s="11" t="inlineStr">
        <is>
          <t>The Fansler Foundation</t>
        </is>
      </c>
      <c r="D10" s="11" t="inlineStr">
        <is>
          <t>770095125</t>
        </is>
      </c>
      <c r="E10" s="11" t="inlineStr">
        <is>
          <t>CA</t>
        </is>
      </c>
      <c r="F10" s="11" t="inlineStr">
        <is>
          <t>$23M</t>
        </is>
      </c>
      <c r="G10" s="14" t="inlineStr">
        <is>
          <t>SKIP</t>
        </is>
      </c>
      <c r="H10" s="11" t="inlineStr">
        <is>
          <t>Yes - LOI by March 31</t>
        </is>
      </c>
      <c r="I10" s="11" t="inlineStr">
        <is>
          <t>Central CA ONLY (Fresno, Kings, Tulare, Merced, Madera, Mariposa)</t>
        </is>
      </c>
      <c r="J10" s="11" t="inlineStr">
        <is>
          <t>Developmentally challenged children, socioeconomically disadvantaged</t>
        </is>
      </c>
      <c r="K10" s="11" t="inlineStr">
        <is>
          <t>$13K-$150K</t>
        </is>
      </c>
      <c r="L10" s="11" t="inlineStr">
        <is>
          <t>YES - Developmentally challenged youth</t>
        </is>
      </c>
      <c r="M10" s="11" t="inlineStr">
        <is>
          <t>GEOGRAPHIC DISQUALIFIER: San Diego is not in their service area. Only funds Central California counties.</t>
        </is>
      </c>
      <c r="N10" s="11" t="inlineStr">
        <is>
          <t>fanslerfoundation.com - Reviewed guidelines, geographic eligibility</t>
        </is>
      </c>
      <c r="O10" s="14" t="inlineStr">
        <is>
          <t>SKIP - Wrong geography (Central CA only)</t>
        </is>
      </c>
    </row>
    <row r="11">
      <c r="B11" s="11" t="inlineStr">
        <is>
          <t>Friendship Circle</t>
        </is>
      </c>
      <c r="C11" s="11" t="inlineStr">
        <is>
          <t>George H Sandy Foundation</t>
        </is>
      </c>
      <c r="D11" s="11" t="inlineStr">
        <is>
          <t>946054473</t>
        </is>
      </c>
      <c r="E11" s="11" t="inlineStr">
        <is>
          <t>WI</t>
        </is>
      </c>
      <c r="F11" s="11" t="inlineStr">
        <is>
          <t>$60M</t>
        </is>
      </c>
      <c r="G11" s="14" t="inlineStr">
        <is>
          <t>SKIP</t>
        </is>
      </c>
      <c r="H11" s="11" t="inlineStr">
        <is>
          <t>Yes - Open to new applicants</t>
        </is>
      </c>
      <c r="I11" s="11" t="inlineStr">
        <is>
          <t>SF Bay Area ONLY</t>
        </is>
      </c>
      <c r="J11" s="11" t="inlineStr">
        <is>
          <t>Vulnerable populations, disability services, rehabilitation, vocational</t>
        </is>
      </c>
      <c r="K11" s="11" t="inlineStr">
        <is>
          <t>$5K-$175K (avg $52K)</t>
        </is>
      </c>
      <c r="L11" s="11" t="inlineStr">
        <is>
          <t>YES - Disability and vocational services</t>
        </is>
      </c>
      <c r="M11" s="11" t="inlineStr">
        <is>
          <t>GEOGRAPHIC DISQUALIFIER: Only funds San Francisco Bay Area organizations. San Diego not in service area.</t>
        </is>
      </c>
      <c r="N11" s="11" t="inlineStr">
        <is>
          <t>grantable.co, grantstation.com - No website; verified via grant databases</t>
        </is>
      </c>
      <c r="O11" s="14" t="inlineStr">
        <is>
          <t>SKIP - Wrong geography (Bay Area only)</t>
        </is>
      </c>
    </row>
    <row r="12">
      <c r="B12" s="11" t="inlineStr">
        <is>
          <t>Friendship Circle</t>
        </is>
      </c>
      <c r="C12" s="11" t="inlineStr">
        <is>
          <t>Carl E Wynn Foundation</t>
        </is>
      </c>
      <c r="D12" s="11" t="inlineStr">
        <is>
          <t>956136231</t>
        </is>
      </c>
      <c r="E12" s="11" t="inlineStr">
        <is>
          <t>CA</t>
        </is>
      </c>
      <c r="F12" s="11" t="inlineStr">
        <is>
          <t>$22M</t>
        </is>
      </c>
      <c r="G12" s="14" t="inlineStr">
        <is>
          <t>SKIP</t>
        </is>
      </c>
      <c r="H12" s="11" t="inlineStr">
        <is>
          <t>NO - INVITE ONLY</t>
        </is>
      </c>
      <c r="I12" s="11" t="inlineStr">
        <is>
          <t>CA (incl San Diego), NY, AK</t>
        </is>
      </c>
      <c r="J12" s="11" t="inlineStr">
        <is>
          <t>Enriching lives, wildlife, Guide Dogs for the Blind, disability residential</t>
        </is>
      </c>
      <c r="K12" s="11" t="inlineStr">
        <is>
          <t>$3K-$135K (median $10K)</t>
        </is>
      </c>
      <c r="L12" s="11" t="inlineStr">
        <is>
          <t>YES - Has funded disability programs</t>
        </is>
      </c>
      <c r="M12" s="11" t="inlineStr">
        <is>
          <t>Explicitly states 'invitation only - no longer accepting unsolicited applications'. No pathway to apply.</t>
        </is>
      </c>
      <c r="N12" s="11" t="inlineStr">
        <is>
          <t>carlewynnfoundation.org - Reviewed application policy</t>
        </is>
      </c>
      <c r="O12" s="14" t="inlineStr">
        <is>
          <t>SKIP - Invite only</t>
        </is>
      </c>
    </row>
    <row r="13">
      <c r="B13" s="11" t="inlineStr">
        <is>
          <t>Friendship Circle</t>
        </is>
      </c>
      <c r="C13" s="11" t="inlineStr">
        <is>
          <t>Open Stewardship Foundation</t>
        </is>
      </c>
      <c r="D13" s="11" t="inlineStr">
        <is>
          <t>453682002</t>
        </is>
      </c>
      <c r="E13" s="11" t="inlineStr">
        <is>
          <t>CA</t>
        </is>
      </c>
      <c r="F13" s="11" t="inlineStr">
        <is>
          <t>$8M</t>
        </is>
      </c>
      <c r="G13" s="14" t="inlineStr">
        <is>
          <t>SKIP</t>
        </is>
      </c>
      <c r="H13" s="11" t="inlineStr">
        <is>
          <t>UNCLEAR - No public application process</t>
        </is>
      </c>
      <c r="I13" s="11" t="inlineStr">
        <is>
          <t>CA and TX (primarily LA area)</t>
        </is>
      </c>
      <c r="J13" s="11" t="inlineStr">
        <is>
          <t>Education, Human Services, Christian/civic organizations</t>
        </is>
      </c>
      <c r="K13" s="11" t="inlineStr">
        <is>
          <t>$1K-$100K (avg $5,631)</t>
        </is>
      </c>
      <c r="L13" s="11" t="inlineStr">
        <is>
          <t>NO - No explicit disability focus</t>
        </is>
      </c>
      <c r="M13" s="11" t="inlineStr">
        <is>
          <t>No clear application process. Very small average grants ($5K). Faith-based priorities. No documented disability focus.</t>
        </is>
      </c>
      <c r="N13" s="11" t="inlineStr">
        <is>
          <t>openstewardship.com, instrumentl.com, causeiq.com - Reviewed 990s and website</t>
        </is>
      </c>
      <c r="O13" s="14" t="inlineStr">
        <is>
          <t>SKIP - No clear process, small grants</t>
        </is>
      </c>
    </row>
    <row r="14">
      <c r="B14" s="11" t="inlineStr">
        <is>
          <t>PSMF</t>
        </is>
      </c>
      <c r="C14" s="11" t="inlineStr">
        <is>
          <t>A.P. Giannini Foundation</t>
        </is>
      </c>
      <c r="D14" s="11" t="inlineStr">
        <is>
          <t>946089512</t>
        </is>
      </c>
      <c r="E14" s="11" t="inlineStr">
        <is>
          <t>CA</t>
        </is>
      </c>
      <c r="F14" s="11" t="inlineStr">
        <is>
          <t>$28M</t>
        </is>
      </c>
      <c r="G14" s="14" t="inlineStr">
        <is>
          <t>SKIP</t>
        </is>
      </c>
      <c r="H14" s="11" t="inlineStr">
        <is>
          <t>Yes - Annual November deadline</t>
        </is>
      </c>
      <c r="I14" s="11" t="inlineStr">
        <is>
          <t>California ONLY (accredited CA medical schools)</t>
        </is>
      </c>
      <c r="J14" s="11" t="inlineStr">
        <is>
          <t>Postdoctoral biomedical RESEARCH fellowships</t>
        </is>
      </c>
      <c r="K14" s="11" t="inlineStr">
        <is>
          <t>$70K/year for 3 years ($210K total)</t>
        </is>
      </c>
      <c r="L14" s="11" t="inlineStr">
        <is>
          <t>NO - Research fellowships, not training programs</t>
        </is>
      </c>
      <c r="M14" s="11" t="inlineStr">
        <is>
          <t>Funds individual researchers at CA medical schools, not organizations running fellowship programs. US citizens/permanent residents only.</t>
        </is>
      </c>
      <c r="N14" s="11" t="inlineStr">
        <is>
          <t>apgianninifoundation.org - Reviewed fellowship details, eligibility requirements</t>
        </is>
      </c>
      <c r="O14" s="14" t="inlineStr">
        <is>
          <t>SKIP - Research focus, CA residents only</t>
        </is>
      </c>
    </row>
    <row r="15">
      <c r="B15" s="11" t="inlineStr">
        <is>
          <t>PSMF</t>
        </is>
      </c>
      <c r="C15" s="11" t="inlineStr">
        <is>
          <t>Independence Foundation</t>
        </is>
      </c>
      <c r="D15" s="11" t="inlineStr">
        <is>
          <t>231352110</t>
        </is>
      </c>
      <c r="E15" s="11" t="inlineStr">
        <is>
          <t>PA</t>
        </is>
      </c>
      <c r="F15" s="11" t="inlineStr">
        <is>
          <t>$74M</t>
        </is>
      </c>
      <c r="G15" s="14" t="inlineStr">
        <is>
          <t>SKIP</t>
        </is>
      </c>
      <c r="H15" s="11" t="inlineStr">
        <is>
          <t>LOI accepted (few invited to full proposal)</t>
        </is>
      </c>
      <c r="I15" s="11" t="inlineStr">
        <is>
          <t>Philadelphia region ONLY (5 PA counties)</t>
        </is>
      </c>
      <c r="J15" s="11" t="inlineStr">
        <is>
          <t>Healthcare, human services, arts, legal aid, reentry</t>
        </is>
      </c>
      <c r="K15" s="11" t="inlineStr">
        <is>
          <t>$5K-$10K (new grantees); up to $73K (established)</t>
        </is>
      </c>
      <c r="L15" s="11" t="inlineStr">
        <is>
          <t>YES - Has health fellowship program</t>
        </is>
      </c>
      <c r="M15" s="11" t="inlineStr">
        <is>
          <t>GEOGRAPHIC DISQUALIFIER: Explicitly restricted to greater Philadelphia area. Vision is 'equitable Philadelphia region'.</t>
        </is>
      </c>
      <c r="N15" s="11" t="inlineStr">
        <is>
          <t>independencefoundation.org - Reviewed how to apply, geographic focus</t>
        </is>
      </c>
      <c r="O15" s="14" t="inlineStr">
        <is>
          <t>SKIP - Philadelphia only</t>
        </is>
      </c>
    </row>
    <row r="16">
      <c r="B16" s="11" t="inlineStr">
        <is>
          <t>PSMF</t>
        </is>
      </c>
      <c r="C16" s="11" t="inlineStr">
        <is>
          <t>Robert Wood Johnson Foundation</t>
        </is>
      </c>
      <c r="D16" s="11" t="inlineStr">
        <is>
          <t>226029397</t>
        </is>
      </c>
      <c r="E16" s="11" t="inlineStr">
        <is>
          <t>NJ</t>
        </is>
      </c>
      <c r="F16" s="11" t="inlineStr">
        <is>
          <t>$13.7B</t>
        </is>
      </c>
      <c r="G16" s="12" t="inlineStr">
        <is>
          <t>MAYBE</t>
        </is>
      </c>
      <c r="H16" s="11" t="inlineStr">
        <is>
          <t>Yes - Has open funding opportunities</t>
        </is>
      </c>
      <c r="I16" s="11" t="inlineStr">
        <is>
          <t>US and territories; some international OK if US-led</t>
        </is>
      </c>
      <c r="J16" s="11" t="inlineStr">
        <is>
          <t>Health equity, structural racism, community power, leadership development</t>
        </is>
      </c>
      <c r="K16" s="11" t="inlineStr">
        <is>
          <t>Varies widely; Health Equity Scholars up to $260K</t>
        </is>
      </c>
      <c r="L16" s="11" t="inlineStr">
        <is>
          <t>YES - Funds health policy fellows, leadership development</t>
        </is>
      </c>
      <c r="M16" s="11" t="inlineStr">
        <is>
          <t>Programs must benefit US populations primarily. Global team members allowed if US-led. Could frame Kiani Fellows as improving US healthcare if fellows practice in US.</t>
        </is>
      </c>
      <c r="N16" s="11" t="inlineStr">
        <is>
          <t>rwjf.org - Reviewed grants page, active funding opportunities, eligibility</t>
        </is>
      </c>
      <c r="O16" s="12" t="inlineStr">
        <is>
          <t>MAYBE - Reframe to emphasize US benefit</t>
        </is>
      </c>
    </row>
    <row r="17">
      <c r="B17" s="11" t="inlineStr">
        <is>
          <t>PSMF</t>
        </is>
      </c>
      <c r="C17" s="11" t="inlineStr">
        <is>
          <t>Doris Duke Foundation</t>
        </is>
      </c>
      <c r="D17" s="11" t="inlineStr">
        <is>
          <t>823691183</t>
        </is>
      </c>
      <c r="E17" s="11" t="inlineStr">
        <is>
          <t>NY</t>
        </is>
      </c>
      <c r="F17" s="11" t="inlineStr">
        <is>
          <t>$2.2B</t>
        </is>
      </c>
      <c r="G17" s="14" t="inlineStr">
        <is>
          <t>SKIP</t>
        </is>
      </c>
      <c r="H17" s="11" t="inlineStr">
        <is>
          <t>INVITE ONLY (very few from unsolicited LOIs)</t>
        </is>
      </c>
      <c r="I17" s="11" t="inlineStr">
        <is>
          <t>US only (501c3 orgs); concluded global health programs</t>
        </is>
      </c>
      <c r="J17" s="11" t="inlineStr">
        <is>
          <t>Medical research (not education), child well-being, environment, arts</t>
        </is>
      </c>
      <c r="K17" s="11" t="inlineStr">
        <is>
          <t>$50K-$300K</t>
        </is>
      </c>
      <c r="L17" s="11" t="inlineStr">
        <is>
          <t>NO - Medical research focus, not education/training</t>
        </is>
      </c>
      <c r="M17" s="11" t="inlineStr">
        <is>
          <t>Primarily invite-only. Focus is medical research, not healthcare education. Global health grantmaking concluded. Proactive grantmaking model.</t>
        </is>
      </c>
      <c r="N17" s="11" t="inlineStr">
        <is>
          <t>dorisduke.org - Reviewed grants page, medical research focus, grantmaking process</t>
        </is>
      </c>
      <c r="O17" s="14" t="inlineStr">
        <is>
          <t>SKIP - Invite only, research focus</t>
        </is>
      </c>
    </row>
    <row r="18">
      <c r="B18" s="11" t="inlineStr">
        <is>
          <t>PSMF</t>
        </is>
      </c>
      <c r="C18" s="11" t="inlineStr">
        <is>
          <t>The Heinz Endowments</t>
        </is>
      </c>
      <c r="D18" s="11" t="inlineStr">
        <is>
          <t>251721100</t>
        </is>
      </c>
      <c r="E18" s="11" t="inlineStr">
        <is>
          <t>PA</t>
        </is>
      </c>
      <c r="F18" s="11" t="inlineStr">
        <is>
          <t>$2.1B</t>
        </is>
      </c>
      <c r="G18" s="14" t="inlineStr">
        <is>
          <t>SKIP</t>
        </is>
      </c>
      <c r="H18" s="11" t="inlineStr">
        <is>
          <t>Yes - LOI accepted (rolling, 45-day response)</t>
        </is>
      </c>
      <c r="I18" s="11" t="inlineStr">
        <is>
          <t>Southwestern Pennsylvania ONLY</t>
        </is>
      </c>
      <c r="J18" s="11" t="inlineStr">
        <is>
          <t>Climate/environment, arts, civic participation, food systems. Health = environmental health only.</t>
        </is>
      </c>
      <c r="K18" s="11" t="inlineStr">
        <is>
          <t>$6K-$100K in health/education</t>
        </is>
      </c>
      <c r="L18" s="11" t="inlineStr">
        <is>
          <t>NO - Environmental health, not clinical training</t>
        </is>
      </c>
      <c r="M18" s="11" t="inlineStr">
        <is>
          <t>GEOGRAPHIC DISQUALIFIER: Explicitly regional focus on southwestern Pennsylvania only. Health funding is environmental, not clinical.</t>
        </is>
      </c>
      <c r="N18" s="11" t="inlineStr">
        <is>
          <t>heinz.org - Reviewed grants page, geographic eligibility</t>
        </is>
      </c>
      <c r="O18" s="14" t="inlineStr">
        <is>
          <t>SKIP - SW Pennsylvania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2026-01-20T19:13:13Z</dcterms:created>
  <dcterms:modified xmlns:dcterms="http://purl.org/dc/terms/" xmlns:xsi="http://www.w3.org/2001/XMLSchema-instance" xsi:type="dcterms:W3CDTF">2026-01-20T20:20:32Z</dcterms:modified>
</cp:coreProperties>
</file>