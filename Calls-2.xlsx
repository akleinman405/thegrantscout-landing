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xr:revisionPtr revIDLastSave="0" documentId="8_{81048C55-FC1E-4A51-89F3-4486C227098D}" xr6:coauthVersionLast="47" xr6:coauthVersionMax="47" xr10:uidLastSave="{00000000-0000-0000-0000-000000000000}"/>
  <bookViews>
    <workbookView xWindow="0" yWindow="0" windowWidth="0" windowHeight="0" xr2:uid="{00000000-000D-0000-FFFF-FFFF00000000}"/>
  </bookViews>
  <sheets>
    <sheet name="Calls" sheetId="2" r:id="rId1"/>
    <sheet name="Sheet1" sheetId="4" r:id="rId2"/>
    <sheet name="Sheet2" sheetId="5" r:id="rId3"/>
    <sheet name="Sheet3" sheetId="6" r:id="rId4"/>
    <sheet name="Sheet4" sheetId="7" r:id="rId5"/>
    <sheet name="Sheet5" sheetId="8" r:id="rId6"/>
    <sheet name="Sheet6" sheetId="9" r:id="rId7"/>
  </sheets>
  <definedNames>
    <definedName name="_xlnm._FilterDatabase" localSheetId="5" hidden="1">Sheet5!$A$3:$P$52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2" l="1"/>
  <c r="C4" i="2"/>
  <c r="A52" i="8"/>
  <c r="A51" i="8"/>
  <c r="A50" i="8"/>
  <c r="A49" i="8"/>
  <c r="A48" i="8"/>
  <c r="A47" i="8"/>
  <c r="A46" i="8"/>
  <c r="A45" i="8"/>
  <c r="A44" i="8"/>
  <c r="A43" i="8"/>
  <c r="A42" i="8"/>
  <c r="A41" i="8"/>
  <c r="A40" i="8"/>
  <c r="A39" i="8"/>
  <c r="A38" i="8"/>
  <c r="A37" i="8"/>
  <c r="A36" i="8"/>
  <c r="A35" i="8"/>
  <c r="A34" i="8"/>
  <c r="A33" i="8"/>
  <c r="A32" i="8"/>
  <c r="A31" i="8"/>
  <c r="A30" i="8"/>
  <c r="A29" i="8"/>
  <c r="A28" i="8"/>
  <c r="A27" i="8"/>
  <c r="A26" i="8"/>
  <c r="A25" i="8"/>
  <c r="A24" i="8"/>
  <c r="A23" i="8"/>
  <c r="A22" i="8"/>
  <c r="A21" i="8"/>
  <c r="A20" i="8"/>
  <c r="A19" i="8"/>
  <c r="A18" i="8"/>
  <c r="A17" i="8"/>
  <c r="A16" i="8"/>
  <c r="A15" i="8"/>
  <c r="A14" i="8"/>
  <c r="A13" i="8"/>
  <c r="A12" i="8"/>
  <c r="A11" i="8"/>
  <c r="A10" i="8"/>
  <c r="A9" i="8"/>
  <c r="A8" i="8"/>
  <c r="A7" i="8"/>
  <c r="A6" i="8"/>
  <c r="A5" i="8"/>
  <c r="A4" i="8"/>
  <c r="C100" i="2"/>
  <c r="C34" i="2"/>
  <c r="C54" i="2"/>
  <c r="C69" i="2"/>
  <c r="C80" i="2"/>
  <c r="C85" i="2"/>
  <c r="C119" i="2"/>
  <c r="C129" i="2"/>
  <c r="C49" i="2"/>
  <c r="C40" i="2"/>
  <c r="C58" i="2"/>
  <c r="C93" i="2"/>
  <c r="C104" i="2"/>
  <c r="C72" i="2"/>
  <c r="C19" i="2"/>
  <c r="C31" i="2"/>
  <c r="C103" i="2"/>
  <c r="C78" i="2"/>
  <c r="C61" i="2"/>
  <c r="C137" i="2"/>
  <c r="C76" i="2"/>
  <c r="C15" i="2"/>
  <c r="C138" i="2"/>
  <c r="C52" i="2"/>
  <c r="C82" i="2"/>
  <c r="C51" i="2"/>
  <c r="C70" i="2"/>
  <c r="C32" i="2"/>
  <c r="C21" i="2"/>
  <c r="C111" i="2"/>
  <c r="C74" i="2"/>
  <c r="C55" i="2"/>
  <c r="C41" i="2"/>
  <c r="C46" i="2"/>
  <c r="C123" i="2"/>
  <c r="C8" i="2"/>
  <c r="C77" i="2"/>
  <c r="C79" i="2"/>
  <c r="C30" i="2"/>
  <c r="C75" i="2"/>
  <c r="C39" i="2"/>
  <c r="C92" i="2"/>
  <c r="C44" i="2"/>
  <c r="C38" i="2"/>
  <c r="C48" i="2"/>
  <c r="C73" i="2"/>
</calcChain>
</file>

<file path=xl/sharedStrings.xml><?xml version="1.0" encoding="utf-8"?>
<sst xmlns="http://schemas.openxmlformats.org/spreadsheetml/2006/main" count="3480" uniqueCount="1610">
  <si>
    <t>Org</t>
  </si>
  <si>
    <t>Priority</t>
  </si>
  <si>
    <t>Date Contacted</t>
  </si>
  <si>
    <t>Phone</t>
  </si>
  <si>
    <t>Contact</t>
  </si>
  <si>
    <t>Title</t>
  </si>
  <si>
    <t>Email</t>
  </si>
  <si>
    <t>State</t>
  </si>
  <si>
    <t>Timezone</t>
  </si>
  <si>
    <t>Dependents</t>
  </si>
  <si>
    <t>EIN</t>
  </si>
  <si>
    <t>Rating</t>
  </si>
  <si>
    <t>Website</t>
  </si>
  <si>
    <t>About</t>
  </si>
  <si>
    <t>Sunsetting</t>
  </si>
  <si>
    <t>Segment</t>
  </si>
  <si>
    <t>Org Type</t>
  </si>
  <si>
    <t>Outcome</t>
  </si>
  <si>
    <t>Call Notes</t>
  </si>
  <si>
    <t>ERB FAMILY FOUNDATION</t>
  </si>
  <si>
    <t>248-498-2503</t>
  </si>
  <si>
    <t>Tara Tuomaala</t>
  </si>
  <si>
    <t>Vice President of Programs</t>
  </si>
  <si>
    <t>ttuomaala@erbff.org</t>
  </si>
  <si>
    <t>MI</t>
  </si>
  <si>
    <t>1.5 Sunsetting</t>
  </si>
  <si>
    <t>SE Michigan/Detroit focus. Funds arts/culture, democracy, sustainable business. Full staff with direct emails. Spending down by 2034 - grantees need help.</t>
  </si>
  <si>
    <t>Foundation</t>
  </si>
  <si>
    <t>5. Interested</t>
  </si>
  <si>
    <t>1/7 - VM
1/9 - Tara tuomaala at Erb Family Foundation called back – she said they do give out capacity building grant service things and that I can send info and she’d have people take a look at it. Then I asked if I could share what we do.
She asked some great questions like: What size nonprofit 500K-2M (or bigger if they have regional offices) -	What type of nonprofito	Education, health, art-	Geographically specific? o	Yes, lots of smaller nonprofits who could benefit from local partnerships -	How is it different from Candid(I think that’s what it’s called) where someone does research o	Predictive modeling and time saved doing research...I also told her about the pilot idea and sending a list of who we recommend they offer it to as well as the price point (she seemed completely unquestionably unphased)..She said to send the stuff and I said I’d send the one pager, the example report, and the list of nonprofits we recommend should use our service
2/9 - called, left VM. Sent follow up email</t>
  </si>
  <si>
    <t>VetsBoats</t>
  </si>
  <si>
    <t>720.473.3844</t>
  </si>
  <si>
    <t>Matt Goettelman</t>
  </si>
  <si>
    <t>matt.goettelman@vetsboats.org</t>
  </si>
  <si>
    <t>CA</t>
  </si>
  <si>
    <t>Pacific</t>
  </si>
  <si>
    <t>Nonprofit</t>
  </si>
  <si>
    <t>1/7 - Alec requested Matt complete a questionnaire and submit payment to receive a first report by January 1st.
Matt confirmed he would complete the questionnaire and submit payment information later that night.
Alec confirmed receiving the survey but noted payment had not processed, then Matt requested a sample report before committing to annual billing.</t>
  </si>
  <si>
    <t>Aspiriant</t>
  </si>
  <si>
    <t>650 305 3481</t>
  </si>
  <si>
    <t>Talia Pierluissi</t>
  </si>
  <si>
    <t>Director - Wealth Management</t>
  </si>
  <si>
    <t>1. Excellent</t>
  </si>
  <si>
    <t>Ex-Stanford dev</t>
  </si>
  <si>
    <t>Foundation Management</t>
  </si>
  <si>
    <t>MFO</t>
  </si>
  <si>
    <t>4. Reached Decision Maker</t>
  </si>
  <si>
    <t>1/5 - Connected to her VM, she called back and gave her email. I sent her an email about what we do asking to meet. tpierluissi@aspiriant.com
1/7 - Called, left voicemail -- Need to send list of foundation recommendatins like i did with Jesse
2/9 - Called, left VM, sent follow up text - she responded and said that she's not involved in this type of work</t>
  </si>
  <si>
    <t>Mt Sinai Health Care Foundation</t>
  </si>
  <si>
    <t>(216) 421-5500</t>
  </si>
  <si>
    <t>Mitch Balk</t>
  </si>
  <si>
    <t>President</t>
  </si>
  <si>
    <t>OH</t>
  </si>
  <si>
    <t>Improving health and well being of Jewish and general communities in Cleveland.</t>
  </si>
  <si>
    <t>1/5 - Told me their actually a foundation and that they do capacity building
1/7 - Called, was in meeting. Do some research on them and then call back.
1/9 - Called, didn't give me the option to leave a VM</t>
  </si>
  <si>
    <t>THE COLLINS FOUNDATION</t>
  </si>
  <si>
    <t>503-227-7171</t>
  </si>
  <si>
    <t>Kymberli Contreras</t>
  </si>
  <si>
    <t xml:space="preserve">Executive Administrator </t>
  </si>
  <si>
    <t>kcontreras@collinsfoundation.org</t>
  </si>
  <si>
    <t>1.Excellent</t>
  </si>
  <si>
    <t>50 Oregon community nonprofits. $10M/year grantmaking. $310M+ awarded since 1947. Professional staff with direct contact.</t>
  </si>
  <si>
    <t>1/7 - She thought I wanted to be their data guy, then she thought I was tech, then she understood what I was saying and said send a one pager (though they just did the budget and she wasn't sure how much they have ) she gets back into town next week (is gone the rest of this week)
1/9 - left VM (her extension is 1014), Sent email</t>
  </si>
  <si>
    <t>THE DYSON FOUNDATION</t>
  </si>
  <si>
    <t>845-790-6321</t>
  </si>
  <si>
    <t>Andrea L. Reynolds</t>
  </si>
  <si>
    <t>Director of Programs</t>
  </si>
  <si>
    <t>cstancell@dyson.org</t>
  </si>
  <si>
    <t>NY</t>
  </si>
  <si>
    <t>Eastern</t>
  </si>
  <si>
    <t>CEO: Andrea L. Reynolds areynolds@dyson.org 845-790-6321. Program Officers: Jennifer Drake jdrake@dyson.org, Jennifer Killian jkillian@dyson.org. 25 Halcyon Road, Millbrook, NY 12545. General: 845-677-0644.</t>
  </si>
  <si>
    <t>1/7 - Left VM
1/8 - Andrea called back. She said she wasn't sure this would be something they would do for their grantees but if their grantees approached them asking for it then they'd consider it that way. I asked if she would mind looking through a list of grantees they have who might benefit and share her thoughts on if it would actually be helpful or not (pushed that the feedback itself is super helpful) she said sure. She also mentioned that a problem they have is that they get applications from people that are totally unqualified and it wastes their time. I askwed if I could share what we do and she said no just send it in the email. I said I'd put it in the email and call back in a week.
1/9 - Left VM</t>
  </si>
  <si>
    <t>The William &amp; Flora Hewlett Foundation</t>
  </si>
  <si>
    <t>(650) 234-4500 ext 4769</t>
  </si>
  <si>
    <t>Jennifer Wei</t>
  </si>
  <si>
    <t>Director, Effective Philanthropy Group</t>
  </si>
  <si>
    <t>2. Good</t>
  </si>
  <si>
    <t>https://hewlett.org/about-us/people/</t>
  </si>
  <si>
    <t>Portland, OR; Oregon-focused grantmaking</t>
  </si>
  <si>
    <t>1/5 - She thought I was calling to tell her that her raising Cane's order was ready. she said she want sure because they don't have open applications. I told her it was actually so that their nonprofits could find other foundations and become less dependent just in them. she gave me her email and said to shoot over the info
1/7 - Called, no answer and no option for VM
1/8 - Hi Alec, Thank you for the follow-up information – it’s helpful to see the summary info as well as the sample report. I appreciate what you’re doing to help the nonprofit sector especially during a time of significant government funding cuts! We are not in a position to make any new investments at this time as our funds are already allocated for the year, but I’ve shared this with some colleagues to put on their radars. I’d be interested to hear how you’re doing later this year – perhaps check back in the summer or fall. Thanks again for reaching out! Best, Jennifer</t>
  </si>
  <si>
    <t>Whittier Trust</t>
  </si>
  <si>
    <t xml:space="preserve">626-441-5111 </t>
  </si>
  <si>
    <t>Jesse Ostroff</t>
  </si>
  <si>
    <t>VP - Philanthropic Services</t>
  </si>
  <si>
    <t>YOUR CONTACT</t>
  </si>
  <si>
    <t>12/23 - He said it sounded interesting and liked that it would encourage nonprofits to reach out to more applicable foundations (sounds like they get a lot of random applicants who don't qualify. Sent one pager and sample report
1/7 - Called left VM
1/9 - Called left VM</t>
  </si>
  <si>
    <t>Bri</t>
  </si>
  <si>
    <t>Owner</t>
  </si>
  <si>
    <t>BBR Partners</t>
  </si>
  <si>
    <t>212-313-9870</t>
  </si>
  <si>
    <t>Stephanie Diamond</t>
  </si>
  <si>
    <t>Director of Strategic Philanthropy</t>
  </si>
  <si>
    <t>Ex-Schwab Charitable</t>
  </si>
  <si>
    <t>3. Talked to Someone</t>
  </si>
  <si>
    <t xml:space="preserve">She said she'd let Stephanie know I called </t>
  </si>
  <si>
    <t>Chilton Trust</t>
  </si>
  <si>
    <t>212-843-6882</t>
  </si>
  <si>
    <t>David Hamar (Hey mar)</t>
  </si>
  <si>
    <t>Philanthropy Advisory</t>
  </si>
  <si>
    <t>96% capacity grants!</t>
  </si>
  <si>
    <t>She said if I don't have a name she won't connect me with someone but she took a message</t>
  </si>
  <si>
    <t>El Pomar Foundation</t>
  </si>
  <si>
    <t>(719) 633-7733</t>
  </si>
  <si>
    <t>Matt Carpenter</t>
  </si>
  <si>
    <t>EVP &amp; COO</t>
  </si>
  <si>
    <t>CO</t>
  </si>
  <si>
    <t>https://elpomar.org/about-us/leadership/</t>
  </si>
  <si>
    <t>President: Tonya Allen; ~70 staff; Stephanie Duffy (Dir. Grants &amp; Program Ops)</t>
  </si>
  <si>
    <t xml:space="preserve">Reached Ellen P. who may be the secretary for Matt Carpenter. she gave me an email so I can send her our blurb and then she'd see if Matt's the right guy to talk to Ellenp20@elpomar.org </t>
  </si>
  <si>
    <t>HEADWATERS HEALTH FOUNDATION</t>
  </si>
  <si>
    <t>(406) 926-6526</t>
  </si>
  <si>
    <t>Erin Switalski</t>
  </si>
  <si>
    <t>Staff (Program Leadership)</t>
  </si>
  <si>
    <t>MT</t>
  </si>
  <si>
    <t>Mountain</t>
  </si>
  <si>
    <t>20+ years nonprofit experience. Montana/human rights/housing/environmental health. Founding CEO Brenda Solorzano left to lead CA Endowment. 725 W Central Ave Ste 210, Missoula MT 59801.</t>
  </si>
  <si>
    <t>Kashif Incubator</t>
  </si>
  <si>
    <t>(917) 282-1903</t>
  </si>
  <si>
    <t>Chanelle Elaine</t>
  </si>
  <si>
    <t>Original pathways into filmmaking through equity-access practices.</t>
  </si>
  <si>
    <t xml:space="preserve">Veronicas personal cell. call her next week(they're off this week) she didn't seem to mind that I accidentally called her cell </t>
  </si>
  <si>
    <t>O.L. Halsell Foundation</t>
  </si>
  <si>
    <t>W. David Stauffer Jr.</t>
  </si>
  <si>
    <t>mroach@ncousa.com</t>
  </si>
  <si>
    <t>Email is from their CPA and is for Morgan Roach</t>
  </si>
  <si>
    <t>Oxford Financial</t>
  </si>
  <si>
    <t>317-843-5678</t>
  </si>
  <si>
    <t>Michele Hargis CAP</t>
  </si>
  <si>
    <t>Managing Director</t>
  </si>
  <si>
    <t>IN</t>
  </si>
  <si>
    <t>CAP designation</t>
  </si>
  <si>
    <t xml:space="preserve">She's not involved in that and said to call back after 3:30 and she can find out who the right person is to talk to. </t>
  </si>
  <si>
    <t>PRICE PHILANTHROPIES FOUNDATION</t>
  </si>
  <si>
    <t>(619) 795-2000</t>
  </si>
  <si>
    <t>Sakara Tear</t>
  </si>
  <si>
    <t>Senior Director of Community Initiatives</t>
  </si>
  <si>
    <t>stear@pricephilanthropies.org</t>
  </si>
  <si>
    <t>93% capacity; grantees are small City Heights nonprofits who need funding diversification</t>
  </si>
  <si>
    <t xml:space="preserve">ckam@pricephilanthropies.org - talked to Christina and she took a message for Sakara and gave me her email so I can forward a little shpeal about us. </t>
  </si>
  <si>
    <t>Seven Acres Foundation</t>
  </si>
  <si>
    <t>(509) 670-9058</t>
  </si>
  <si>
    <t>Maribel Cruz</t>
  </si>
  <si>
    <t>Executive Director</t>
  </si>
  <si>
    <t>WA</t>
  </si>
  <si>
    <t>Fund and construct the Community Center at Lake Chelan.</t>
  </si>
  <si>
    <t>Nonproft</t>
  </si>
  <si>
    <t>Shoot her an email at maribel@chelancommunity.org-Ben 
1/9 -  called, apparently the number goes to Bens personal cell. He told me to email Maribel</t>
  </si>
  <si>
    <t>THE RALPH C WILSON JR FOUNDATION</t>
  </si>
  <si>
    <t>313-885-1895</t>
  </si>
  <si>
    <t>Amber Slichta</t>
  </si>
  <si>
    <t>info@rcwjrf.org</t>
  </si>
  <si>
    <t>Also: David Egner (President/CEO), Maura Dewan (VP Programs &amp; Corporate Affairs), Jim Boyle (VP Programs &amp; Strategy). 27 full-time staff. $1.2B over 20 years expiring Jan 2035. Focus: SE Michigan and Western NY.</t>
  </si>
  <si>
    <t>Taked to Maria (Suchyta?) She said they're a spend down foundation ending at the end of 2038. I mentioned it could be helpful for their grantees so they can get funding after their gone. She got my info and said to send more info</t>
  </si>
  <si>
    <t>THE ROUNDHOUSE FOUNDATION</t>
  </si>
  <si>
    <t>541-904-0700</t>
  </si>
  <si>
    <t>Erin Borla</t>
  </si>
  <si>
    <t>Executive Director &amp; Trustee</t>
  </si>
  <si>
    <t>emily@roundhousefoundation.org</t>
  </si>
  <si>
    <t>91 dependent grantees (rural Oregon nonprofits). 6 CB service grants including strategic planning and technical assistance. Professional staff with direct emails on website.</t>
  </si>
  <si>
    <t>Talked to Emily, she said I put it simply and had me send an email.</t>
  </si>
  <si>
    <t>Acton School of Business</t>
  </si>
  <si>
    <t>(512) 695-2954</t>
  </si>
  <si>
    <t>Chris Coggin</t>
  </si>
  <si>
    <t>President/CEO</t>
  </si>
  <si>
    <t>TX</t>
  </si>
  <si>
    <t>Preparing entrepreneurs and world changers ages 6-66 using learner-driven approach.</t>
  </si>
  <si>
    <t>Education</t>
  </si>
  <si>
    <t>2. VM</t>
  </si>
  <si>
    <t>AlTi Tiedemann</t>
  </si>
  <si>
    <t>212-396-5900</t>
  </si>
  <si>
    <t>Jill Shipley</t>
  </si>
  <si>
    <t>Philanthropy curriculum</t>
  </si>
  <si>
    <t>Ann Jackson Family Foundation</t>
  </si>
  <si>
    <t>(805) 969-2258</t>
  </si>
  <si>
    <t>Palmer Jackson Jr.</t>
  </si>
  <si>
    <t>Managing Trustee</t>
  </si>
  <si>
    <t>palmer.jackson@gmail.com</t>
  </si>
  <si>
    <t>Santa Barbara based</t>
  </si>
  <si>
    <t>Aspen Art Museum Foundation</t>
  </si>
  <si>
    <t>(970) 925-8050</t>
  </si>
  <si>
    <t>Nicola Lees</t>
  </si>
  <si>
    <t>Artistic Director and CEO</t>
  </si>
  <si>
    <t>Endowment fund for Aspen Art Museum.</t>
  </si>
  <si>
    <t>Arts &amp; Culture</t>
  </si>
  <si>
    <t>Bay Education Fund</t>
  </si>
  <si>
    <t>(650) 204-0575</t>
  </si>
  <si>
    <t>Tammy Crown</t>
  </si>
  <si>
    <t>Community investment fund transforming district capacity with families and teachers.</t>
  </si>
  <si>
    <t>Better Angels United</t>
  </si>
  <si>
    <t>(213) 293-6950</t>
  </si>
  <si>
    <t>Adam Miller</t>
  </si>
  <si>
    <t>Director/President</t>
  </si>
  <si>
    <t>Holistic approach to tackling homelessness in Los Angeles.</t>
  </si>
  <si>
    <t>Human Services</t>
  </si>
  <si>
    <t>Brown Brothers Harriman</t>
  </si>
  <si>
    <t>212-483-1818</t>
  </si>
  <si>
    <t>Drew Rabe</t>
  </si>
  <si>
    <t>MD - Head of Philanthropy</t>
  </si>
  <si>
    <t>Ex-Arabella; Columbia Law</t>
  </si>
  <si>
    <t>C K BLANDIN FOUNDATION</t>
  </si>
  <si>
    <t>218-326-0523</t>
  </si>
  <si>
    <t>Kyle Erickson</t>
  </si>
  <si>
    <t>Director of Rural Grantmaking</t>
  </si>
  <si>
    <t>info@blandinfoundation.org</t>
  </si>
  <si>
    <t>MN</t>
  </si>
  <si>
    <t>CEO: Tuleah Palmer. Also: Linda Gibeau (Grants Program Officer - Small Communities), Mary Magnuson (Grants Program Officer - Rural Placemaking). Toll-free: 877-882-2257. 100 North Pokegama Avenue, Grand Rapids, MN 55744.</t>
  </si>
  <si>
    <t>CH ROBINSON WORLDWIDE FOUNDATION</t>
  </si>
  <si>
    <t>952-937-8500</t>
  </si>
  <si>
    <t>Rachel Schwalbach</t>
  </si>
  <si>
    <t>VP, ESG &amp; President of C.H. Robinson Foundation</t>
  </si>
  <si>
    <t>communityrelations@chrobinson.com</t>
  </si>
  <si>
    <t>SD</t>
  </si>
  <si>
    <t>Rachel leads Foundation budget and strategy. Focus: Minneapolis-St. Paul metro. Since 2005, donated $29M to nonprofits.</t>
  </si>
  <si>
    <t>1/9 - Voicemail for evelyn</t>
  </si>
  <si>
    <t>CLAUDE WORTHINGTON BENEDUM FOUNDATION</t>
  </si>
  <si>
    <t>412-246-3634</t>
  </si>
  <si>
    <t>Kim Tieman</t>
  </si>
  <si>
    <t>Vice President and Program Director</t>
  </si>
  <si>
    <t>info@benedum.org</t>
  </si>
  <si>
    <t>PA</t>
  </si>
  <si>
    <t>President: Jen Giovannitti 412-246-3642. Sr Program Officers: Melanie Claxton 412-246-3624, Bill Woodrum 412-246-3644 (community/econ dev lead). Dir Strategic Initiatives: Rochelle Goodwin. 223 Fourth Ave, 1400 Benedum-Trees Bldg, Pittsburgh, PA 15222.</t>
  </si>
  <si>
    <t>left a message for Jen (Kim's mailbox was full)</t>
  </si>
  <si>
    <t>Conrad &amp; Virginia Klee Foundation</t>
  </si>
  <si>
    <t>607-722-2266</t>
  </si>
  <si>
    <t>Amanda McIntyre</t>
  </si>
  <si>
    <t>amanda@kleefoundation.org</t>
  </si>
  <si>
    <t>kleefoundation.org</t>
  </si>
  <si>
    <t>14 CB grants. Office hours 9am-1pm M-F. Admin: Michele Duquella. 84 Court St, Suite 510, Binghamton, NY 13901.</t>
  </si>
  <si>
    <t>Conrad N. Hilton Foundation</t>
  </si>
  <si>
    <t>(818) 851-3700</t>
  </si>
  <si>
    <t>Christie Cardenas ext 410</t>
  </si>
  <si>
    <t>Program Officer, Opportunity Youth</t>
  </si>
  <si>
    <t>https://www.hiltonfoundation.org/about/people/</t>
  </si>
  <si>
    <t>Colorado Springs-based; statewide focus</t>
  </si>
  <si>
    <t>1/5 - VM</t>
  </si>
  <si>
    <t>Cook Family Foundation</t>
  </si>
  <si>
    <t>989-725-1621</t>
  </si>
  <si>
    <t>Tom Cook</t>
  </si>
  <si>
    <t>cookfamilyfoundation.org</t>
  </si>
  <si>
    <t>Small foundation (7 grantees). 15 CB grants. Backup: Kelleigh Tanton kelleigh@cookfamilyfoundation.org. 120 W. Exchange St, Suite 202, Owosso, MI 48867.</t>
  </si>
  <si>
    <t>CTrees</t>
  </si>
  <si>
    <t>(818) 354-1666</t>
  </si>
  <si>
    <t>Sasan Saatchi</t>
  </si>
  <si>
    <t>CEO</t>
  </si>
  <si>
    <t>Track carbon in every tree on the planet for natural climate solutions.</t>
  </si>
  <si>
    <t>Environment</t>
  </si>
  <si>
    <t>Elevate Charter Schools</t>
  </si>
  <si>
    <t>(203) 843-4890</t>
  </si>
  <si>
    <t>Jeffrey Cirillo</t>
  </si>
  <si>
    <t>CT</t>
  </si>
  <si>
    <t>Developing high-performing charter schools with rigorous personalized education.</t>
  </si>
  <si>
    <t>EWING MARION KAUFFMAN FOUNDATION</t>
  </si>
  <si>
    <t>(816) 932-1000</t>
  </si>
  <si>
    <t>Allison Greenwood Bajracharya</t>
  </si>
  <si>
    <t>Chief Impact and Strategy Officer</t>
  </si>
  <si>
    <t>MO</t>
  </si>
  <si>
    <t>New role 2024. KC native, formerly America Achieves. CEO: DeAngela Burns-Wallace. VP Programs: not listed. LinkedIn outreach recommended. 263 employees.</t>
  </si>
  <si>
    <t>FAUQUIER HEALTH FOUNDATION</t>
  </si>
  <si>
    <t>540-680-4100</t>
  </si>
  <si>
    <t>Beth Foddrell</t>
  </si>
  <si>
    <t>Program Officer</t>
  </si>
  <si>
    <t>bfoddrell@pathforyou.org</t>
  </si>
  <si>
    <t>VA</t>
  </si>
  <si>
    <t>NOW CALLED PATH FOUNDATION (pathforyou.org). TA Grant explicitly funds "software for donor management". Also: Andy Johnston (Dir Programs). Fauquier/Rappahannock/Culpeper VA.</t>
  </si>
  <si>
    <t>1/7 - VM for margi 
1/9- another VM for margi (not sure how to spell her name - she's a grants manager)</t>
  </si>
  <si>
    <t>First Interstate BancSystem Foundation</t>
  </si>
  <si>
    <t>406-255-5393</t>
  </si>
  <si>
    <t xml:space="preserve">James Reuter </t>
  </si>
  <si>
    <t>Chair, Foundation Board of Directors</t>
  </si>
  <si>
    <t>firstinterstatefoundation@fib.com</t>
  </si>
  <si>
    <t>Chair leads 5-member board. PO Box 7113, Billings MT 59103. LOI via nearest bank branch first. Focus: community development, leadership.</t>
  </si>
  <si>
    <t>GERALDINE R DODGE FOUNDATION INC</t>
  </si>
  <si>
    <t>973-540-8442</t>
  </si>
  <si>
    <t>Samra Haider</t>
  </si>
  <si>
    <t>President &amp; CEO</t>
  </si>
  <si>
    <t>shaider@grdodge.org</t>
  </si>
  <si>
    <t>NJ</t>
  </si>
  <si>
    <t>61% capacity; 335 NJ grantees; racial wealth gap focus; new CEO June 2025; RECOMMENDED</t>
  </si>
  <si>
    <t>Grace S &amp; W Linton Nelson Foundation</t>
  </si>
  <si>
    <t>610-977-2488</t>
  </si>
  <si>
    <t>Jenny Snyder</t>
  </si>
  <si>
    <t>Director of Grantmaking</t>
  </si>
  <si>
    <t>info@nelsonfoundationpa.org</t>
  </si>
  <si>
    <t>nelsonfoundationpa.org</t>
  </si>
  <si>
    <t>24 CB grants ($1.09M). Jenny manages grant programs - best for CB discussions. 150 N. Radnor Chester Rd, F200, Radnor, PA 19087.</t>
  </si>
  <si>
    <t>HELLMAN FOUNDATION</t>
  </si>
  <si>
    <t>415-837-5408</t>
  </si>
  <si>
    <t>Dorian Luey</t>
  </si>
  <si>
    <t>Director, Capacity Building</t>
  </si>
  <si>
    <t>dorian.luey@thirdplateau.com</t>
  </si>
  <si>
    <t>SF Bay Area community focus. Funds health equity, education, youth development, food access. Has capacity building director. Sunsetting by 2034 - grantees need help finding other funders.</t>
  </si>
  <si>
    <t>HILLMAN FAMILY FOUNDATIONS</t>
  </si>
  <si>
    <t>412-338-3466</t>
  </si>
  <si>
    <t>Hilary A. Brown</t>
  </si>
  <si>
    <t>Program Director of Family Foundations</t>
  </si>
  <si>
    <t>hbrown@hillmanfo.com</t>
  </si>
  <si>
    <t>Email pattern from RocketReach (h******@hillmanfo.com). Also: Meredith Mavero (Program Officer). 310 Grant St Ste 2000, Pittsburgh PA 15219. 12 staff, 18 foundations. $70M/yr grants.</t>
  </si>
  <si>
    <t>Human Cell Atlas</t>
  </si>
  <si>
    <t>(617) 714-7093</t>
  </si>
  <si>
    <t>Aviv Regev</t>
  </si>
  <si>
    <t>Director, Co-Chair</t>
  </si>
  <si>
    <t>MA</t>
  </si>
  <si>
    <t>Mapping every cell type in the human body.</t>
  </si>
  <si>
    <t>Science &amp; Tech</t>
  </si>
  <si>
    <t>Joseph and Vera Zilber Family Foundation Inc</t>
  </si>
  <si>
    <t>(414) 274-2447</t>
  </si>
  <si>
    <t>Erin Frederick</t>
  </si>
  <si>
    <t>Sector Supports Director (leads capacity building)</t>
  </si>
  <si>
    <t>erin.frederick@zilberfamilyfoundation.org</t>
  </si>
  <si>
    <t>WI</t>
  </si>
  <si>
    <t>ED: Lianna Bishop lianna.bishop@zilberfamilyfoundation.org. Program Dir: Demetria Smith demetria.smith@. Program Officers: Yalanda Ludtke yalanda.ludtke@, Meredith Trockman meredith.trockman@. Grants Mgr: Danielle Johnson danielle.johnson@zilberfamilyfoundation.org</t>
  </si>
  <si>
    <t>LNW (Laird Norton)</t>
  </si>
  <si>
    <t>206-464-5100</t>
  </si>
  <si>
    <t>John Goodwin</t>
  </si>
  <si>
    <t>Director &amp; Chief Legacy Strategist</t>
  </si>
  <si>
    <t>Pacific NW</t>
  </si>
  <si>
    <t>M J MURDOCK CHARITABLE TRUST</t>
  </si>
  <si>
    <t>(360) 694-8415</t>
  </si>
  <si>
    <t>Kimberly Thornbury, Ph.D.</t>
  </si>
  <si>
    <t>Vice President, Programs &amp; Partnerships</t>
  </si>
  <si>
    <t>info@murdocktrust.org</t>
  </si>
  <si>
    <t>Also: Jill Lemke (VP Grants Mgmt), Pauline Fong (Chief Program Officer). Focus: AK, ID, MT, OR, WA. Free nonprofit resources.</t>
  </si>
  <si>
    <t>MARGUERITE CASEY FOUNDATION</t>
  </si>
  <si>
    <t>510-295-8484</t>
  </si>
  <si>
    <t>Dr. Carmen Rojas</t>
  </si>
  <si>
    <t>crojas@caseygrants.org</t>
  </si>
  <si>
    <t>68% capacity; 509 movement-building orgs; Highlander $1.5M; preselected OK for B2B; RECOMMENDED</t>
  </si>
  <si>
    <t>Marici</t>
  </si>
  <si>
    <t>(415) 745-3300</t>
  </si>
  <si>
    <t>Divya Joshi</t>
  </si>
  <si>
    <t>Increasing resources and building capacity for grassroots organizations.</t>
  </si>
  <si>
    <t>Left message for Al Weedman</t>
  </si>
  <si>
    <t>MARIE LAMFROM CHARITABLE FOUNDATION</t>
  </si>
  <si>
    <t> 5038773943</t>
  </si>
  <si>
    <t>Tyler Hobbs</t>
  </si>
  <si>
    <t>tyler@marielamfrom.org</t>
  </si>
  <si>
    <t>OR</t>
  </si>
  <si>
    <t>57% capacity; 958 grantees; expanded GOS &amp; multi-year; BIPOC/LGBTQ+ focus; Oregon's #2 capacity builder</t>
  </si>
  <si>
    <t>MARSHALL L AND PERRINE D MCCUNE</t>
  </si>
  <si>
    <t>505-983-8300</t>
  </si>
  <si>
    <t>Carla Romero</t>
  </si>
  <si>
    <t>mccune@nmmccune.org</t>
  </si>
  <si>
    <t>NM</t>
  </si>
  <si>
    <t>Also: Ernesto Torres (Dir Grantmaking &amp; Community Inclusion), Henry Rael (Dir Strategy), Allison Hagerman (Dir Learning &amp; Ops). 345 E Alameda St, Santa Fe NM 87501. grants@nmmccune.org for grantmaking.</t>
  </si>
  <si>
    <t>1/7 - not contacted
1/9 - Vm for Ernesto</t>
  </si>
  <si>
    <t>MEDINA FOUNDATION</t>
  </si>
  <si>
    <t>206-652-8783</t>
  </si>
  <si>
    <t>Jennifer Teunon</t>
  </si>
  <si>
    <t>Puget Sound human services focus. 4 CB service grants. Funds racial equity, general operating. SUNSETTING 3-5 years - grantees urgently need other funders.</t>
  </si>
  <si>
    <t>Meyer Memorial Trust</t>
  </si>
  <si>
    <t>(503) 228-5512</t>
  </si>
  <si>
    <t>Nancy Haque</t>
  </si>
  <si>
    <t>questions@mmt.org</t>
  </si>
  <si>
    <t>https://mmt.org/about/our-team</t>
  </si>
  <si>
    <t>President: Aileen Lee; Chair: Ken Moore; $8.7B assets</t>
  </si>
  <si>
    <t>PALLOTTINE FOUNDATION OF HUNTINGTON</t>
  </si>
  <si>
    <t>304-397-5955</t>
  </si>
  <si>
    <t>Jana Stoner</t>
  </si>
  <si>
    <t>Senior Program Officer for Mission and Strategy</t>
  </si>
  <si>
    <t>jkstoner@pallottinehuntington.org</t>
  </si>
  <si>
    <t>WV</t>
  </si>
  <si>
    <t>CEO: Laura Boone (lkboone@pallottinehuntington.org). Also: Claire Snyder, Senior Program Officer for Learning and Impact (cesnyder@pallottinehuntington.org). Strong capacity building focus with examples like board development, strategic planning, and fundraising strategy development.</t>
  </si>
  <si>
    <t>Pathstone</t>
  </si>
  <si>
    <t>888-750-7284</t>
  </si>
  <si>
    <t>Hannah Kanstroom</t>
  </si>
  <si>
    <t>Director - Family Advisory (Philanthropy)</t>
  </si>
  <si>
    <t>Ex-BofA; CAP</t>
  </si>
  <si>
    <t>Peter Kiewit Foundation</t>
  </si>
  <si>
    <t>(402) 575-5786</t>
  </si>
  <si>
    <t>Wendy Boyer</t>
  </si>
  <si>
    <t>wwb@pkfdn.org</t>
  </si>
  <si>
    <t>NE</t>
  </si>
  <si>
    <t>Nebraska/W Iowa focus. 6 CB service grants. Funds education, youth, affordable housing, community foundation capacity. SUNSETTING 2030 - grantees urgently need other funders.</t>
  </si>
  <si>
    <t>POHLAD FAMILY FOUNDATION</t>
  </si>
  <si>
    <t>612-661-3859</t>
  </si>
  <si>
    <t>Susan Bass Roberts</t>
  </si>
  <si>
    <t>VP: Brian Paulson. Program Officers: Lea Blackwell Favor (Racial Justice), Sommer Green (Housing Stability). 250 Nicollet Mall Ste 600, Minneapolis MN 55401.</t>
  </si>
  <si>
    <t>PowerCA Action</t>
  </si>
  <si>
    <t>(510) 698-3828</t>
  </si>
  <si>
    <t>Luis Sanchez</t>
  </si>
  <si>
    <t>Engaging young voters of color and families to advance progressive agenda.</t>
  </si>
  <si>
    <t>Civil Rights</t>
  </si>
  <si>
    <t>RAIKES FOUNDATION</t>
  </si>
  <si>
    <t>(206) 801-9500</t>
  </si>
  <si>
    <t>Dr. Zoe Stemm-Calderon</t>
  </si>
  <si>
    <t>Executive Director (starting Jan 2026)</t>
  </si>
  <si>
    <t>info@raikesfoundation.org</t>
  </si>
  <si>
    <t>Seattle-based, national reach. 7 CB service grants. Funds education, youth homelessness, democracy/equity. Top grantees include Seattle Foundation, National Equity Project.</t>
  </si>
  <si>
    <t>RASMUSON FOUNDATION</t>
  </si>
  <si>
    <t>907-297-2700</t>
  </si>
  <si>
    <t>Gretchen Guess</t>
  </si>
  <si>
    <t>grants@rasmuson.org</t>
  </si>
  <si>
    <t>AK</t>
  </si>
  <si>
    <t>NEW CEO Feb 2024; Alaska's largest grantmaker; partners with Foraker Group for capacity building</t>
  </si>
  <si>
    <t>SEMPRA FOUNDATION</t>
  </si>
  <si>
    <t>619-696-2467</t>
  </si>
  <si>
    <t>Christy Ihrig</t>
  </si>
  <si>
    <t>Director</t>
  </si>
  <si>
    <t>688 dependent grantees - massive reach. 2,382 grants last year. Corporate foundation of Sempra Energy in San Diego. Focus: education, environment, emergency preparedness. High-volume grantor with broad community impact.</t>
  </si>
  <si>
    <t>SIERRA HEALTH FOUNDATION</t>
  </si>
  <si>
    <t>916-922-4755</t>
  </si>
  <si>
    <t>Chet P. Hewitt</t>
  </si>
  <si>
    <t>President and CEO</t>
  </si>
  <si>
    <t>info@sierrahealth.org</t>
  </si>
  <si>
    <t>45 dependent grantees focused on health equity and vulnerable youth. Professional leadership team with 17+ year CEO tenure. Strong focus on community health disparities in Sacramento/Northern CA region.</t>
  </si>
  <si>
    <t>Stewart W &amp; Willma C Hoyt Foundation</t>
  </si>
  <si>
    <t>607-772-0780</t>
  </si>
  <si>
    <t>Catherine Schwoeffermann</t>
  </si>
  <si>
    <t>hoytfoundation.org</t>
  </si>
  <si>
    <t>7 CB grants. Key Staff: Amy Pepe. 70 Front St, Suite 1, Binghamton, NY 13905.</t>
  </si>
  <si>
    <t>STUPSKI FOUNDATION</t>
  </si>
  <si>
    <t>415.655.4405</t>
  </si>
  <si>
    <t>Glen Galaich, Ph.D.</t>
  </si>
  <si>
    <t>glen@stupski.org</t>
  </si>
  <si>
    <t>SUNSETTING BY 2029 - grantees urgently need other funders. 10 CB service grants (BIPOC-led CBO capacity building, leadership development, technical assistance). Professional staff with direct contact. Grantees include West Hawaii Community Health Center, Hawaii Good Food Alliance, Kokua Kalihi Valley.</t>
  </si>
  <si>
    <t>SWIFT FOUNDATION</t>
  </si>
  <si>
    <t>Suzanne Benally</t>
  </si>
  <si>
    <t>ED</t>
  </si>
  <si>
    <t>SUNSETTING 2028 - 190+ Native-led grantees urgently need other funders. Supports Indigenous Environmental Network, Indigenous Climate Action, Gaia Amazonas. Under-resourced grassroots orgs that would benefit from grant research.</t>
  </si>
  <si>
    <t xml:space="preserve">no number, emailed their contact page </t>
  </si>
  <si>
    <t>Tauck Family Foundation</t>
  </si>
  <si>
    <t>203-899-6525</t>
  </si>
  <si>
    <t>Kim Hein</t>
  </si>
  <si>
    <t>kim@tauckfoundation.org</t>
  </si>
  <si>
    <t>tauckfamilyfoundation.org</t>
  </si>
  <si>
    <t>45 CB grants ($1.45M). Strong CB background - joined as PO 2017, became ED 2022. Backup: Patricia Nunez patricia@tauckfoundation.org. PO Box 650, Wilton, CT 06897.</t>
  </si>
  <si>
    <t>Temple Hoyne Buell Foundation</t>
  </si>
  <si>
    <t>(303) 744-1688</t>
  </si>
  <si>
    <t>Laura Carlson</t>
  </si>
  <si>
    <t>https://buellfoundation.org/about/team/</t>
  </si>
  <si>
    <t>Asheville, NC; Western NC health focus; $1.9B assets</t>
  </si>
  <si>
    <t>The California Wellness Foundation</t>
  </si>
  <si>
    <t>(818) 702-1900</t>
  </si>
  <si>
    <t>Monica Gomez</t>
  </si>
  <si>
    <t>Program Officer, Equity in Access &amp; Economic Security</t>
  </si>
  <si>
    <t>https://calwellness.org/about-us/our-team/</t>
  </si>
  <si>
    <t>Online portal for applications; Maine-focused</t>
  </si>
  <si>
    <t>THE CALIFORNIA WELLNESS FOUNDATION</t>
  </si>
  <si>
    <t>818-702-1900</t>
  </si>
  <si>
    <t>Program Officer - Equity in Access &amp; Economic Security</t>
  </si>
  <si>
    <t>info@calwellness.org</t>
  </si>
  <si>
    <t>20+ years nonprofit experience. Focuses on capacity-building for social change orgs. LA: 818-702-1900, Oakland: 415-908-3000. No direct emails published.</t>
  </si>
  <si>
    <t>THE COLORADO HEALTH FOUNDATION</t>
  </si>
  <si>
    <t>303-953-3628</t>
  </si>
  <si>
    <t>Karen McNeil-Miller</t>
  </si>
  <si>
    <t>$2.8 BILLION assets - largest foundation in batch by far. 238 dependent Colorado grantees. Professional staff with CEO, Chief Impact Officer, VP Philanthropy - all with direct phone numbers. Major health equity funder.</t>
  </si>
  <si>
    <t>THE FB HERON FOUNDATION</t>
  </si>
  <si>
    <t>475-250-1020</t>
  </si>
  <si>
    <t>Felecia Lucky</t>
  </si>
  <si>
    <t>info@heron.org</t>
  </si>
  <si>
    <t>86% capacity; 289 grantees inc CDFIs (Black Belt CF $3.6M); new CEO Oct 2025 from BBCF; RECOMMENDED</t>
  </si>
  <si>
    <t>The Ford Family Foundation</t>
  </si>
  <si>
    <t>(541) 957-5574</t>
  </si>
  <si>
    <t>Keavy Cook</t>
  </si>
  <si>
    <t>keavy@tfff.org</t>
  </si>
  <si>
    <t>Promoted Dec 2024. Also: Kasi Allen (VP Learning &amp; Impact). HQ: Roseburg OR.</t>
  </si>
  <si>
    <t>The George Gund Foundation</t>
  </si>
  <si>
    <t>216-241-3114</t>
  </si>
  <si>
    <t>Tony Richardson</t>
  </si>
  <si>
    <t>trichardson@gundfdn.org</t>
  </si>
  <si>
    <t>42% capacity; 391 Cleveland grantees; Cleveland Foundation $18M; equity-focused; RECOMMENDED</t>
  </si>
  <si>
    <t>THE HEINZ ENDOWMENTS</t>
  </si>
  <si>
    <t>412-281-5777</t>
  </si>
  <si>
    <t>Carmen Anderson</t>
  </si>
  <si>
    <t>Vice President, Community &amp; Economic Development</t>
  </si>
  <si>
    <t>canderson@heinz.org</t>
  </si>
  <si>
    <t>Also: Josie Innamorato (Dir Eval &amp; Learning) jinnamorato@heinz.org, Rob Stephany (Sr Dir) rstephany@heinz.org. $90M/yr grants.</t>
  </si>
  <si>
    <t>The James Irvine Foundation</t>
  </si>
  <si>
    <t>(415) 777-2244</t>
  </si>
  <si>
    <t>Don Howard</t>
  </si>
  <si>
    <t>dhoward@irvine.org</t>
  </si>
  <si>
    <t>Direct CEO email confirmed. Also: Cindy Downing (Program Officer, manages Leadership Awards). 1 Bush St Ste 800, San Francisco CA 94104. ~80 employees. $158.7M grants in 2024.</t>
  </si>
  <si>
    <t>The McKnight Foundation</t>
  </si>
  <si>
    <t>(612) 333-4220</t>
  </si>
  <si>
    <t>Neeraj Mehta</t>
  </si>
  <si>
    <t>President: Tonya Allen. Chief of Staff: Erin Imon Gavin. Dir Grants &amp; Program Ops: Stephanie Duffy. All-women majority POC leadership. ~50 staff. No emails on website.</t>
  </si>
  <si>
    <t>THE NORD FAMILY FOUNDATION</t>
  </si>
  <si>
    <t>440-984-3939</t>
  </si>
  <si>
    <t>Sharon Bennett</t>
  </si>
  <si>
    <t>Grants Administrator</t>
  </si>
  <si>
    <t>sharonbennett@nordff.org</t>
  </si>
  <si>
    <t>58 underfunded grantees; Lorain County OH community focus; funds small local orgs that urgently need diversification; RECOMMENDED</t>
  </si>
  <si>
    <t>THE PATRICIA KIND FAMILY FOUNDATION</t>
  </si>
  <si>
    <t>215-836-9536</t>
  </si>
  <si>
    <t>Lauren Stebbins</t>
  </si>
  <si>
    <t>lstebbins@pkindfamilyfoundation.org</t>
  </si>
  <si>
    <t>Also: Jordan Muse (Philanthropic Partnerships Coordinator) jordan@pkindfamilyfoundation.org, Regina Bosca (Grants Manager, 25+ years), Valerie Kind-Rubin (Managing Trustee) valeriekr@pkindfamilyfoundation.org. 714 N Bethlehem Pike, Suite 304, Lower Gwynedd, PA 19002.</t>
  </si>
  <si>
    <t>The Satterberg Foundation</t>
  </si>
  <si>
    <t>(206) 441-3045</t>
  </si>
  <si>
    <t>Sarah Walczyk</t>
  </si>
  <si>
    <t>swalczyk@satterberg.org</t>
  </si>
  <si>
    <t>Washington; TOP 5 PRIORITY</t>
  </si>
  <si>
    <t>The Triangle Fund</t>
  </si>
  <si>
    <t>607-346-4453</t>
  </si>
  <si>
    <t>Pam Noviello</t>
  </si>
  <si>
    <t>director@trianglefund.org</t>
  </si>
  <si>
    <t>trianglefund.org</t>
  </si>
  <si>
    <t>Very small (18 grantees). 21 CB grants. ED handles all program decisions. 80 E Market St, Suite 202, Corning, NY 14830.</t>
  </si>
  <si>
    <t>THE WILLIAM PENN FOUNDATION</t>
  </si>
  <si>
    <t>215-988-1830</t>
  </si>
  <si>
    <t>Shawn McCaney</t>
  </si>
  <si>
    <t>grants@williampennfoundation.org</t>
  </si>
  <si>
    <t>15 program officers, 460+ active grantees. Two Logan Square 11th Fl, 100 N 18th St, Philadelphia PA 19103. 50 employees. Founded 1945 by Otto &amp; Phoebe Haas.</t>
  </si>
  <si>
    <t>Topos Institute</t>
  </si>
  <si>
    <t>(949) 529-1429</t>
  </si>
  <si>
    <t>Brendan Fong</t>
  </si>
  <si>
    <t>Shaping technology for public benefit through sciences of connection.</t>
  </si>
  <si>
    <t>Walton Family Foundation</t>
  </si>
  <si>
    <t>(479) 464-1500</t>
  </si>
  <si>
    <t xml:space="preserve">Sara Guillaume </t>
  </si>
  <si>
    <t>AR</t>
  </si>
  <si>
    <t xml:space="preserve">Foundation </t>
  </si>
  <si>
    <t xml:space="preserve">Walton enterprises </t>
  </si>
  <si>
    <t>Weingart Foundation</t>
  </si>
  <si>
    <t>(213) 688-7799</t>
  </si>
  <si>
    <t>Crystal Crawford</t>
  </si>
  <si>
    <t>Sr. Dir Strategic Partnerships</t>
  </si>
  <si>
    <t>jjackson@weingartfnd.org</t>
  </si>
  <si>
    <t>https://www.weingartfnd.org/about/</t>
  </si>
  <si>
    <t>Weldon F Osborne Foundation</t>
  </si>
  <si>
    <t>423-267-0931</t>
  </si>
  <si>
    <t>Barbara Marter</t>
  </si>
  <si>
    <t>TN</t>
  </si>
  <si>
    <t>wfosbornefoundation.org</t>
  </si>
  <si>
    <t>31 CB grants ($744K). Chattanooga community focus. 100 W ML King Blvd, Suite 210, Chattanooga, TN 37402.</t>
  </si>
  <si>
    <t>Bessemer Trust</t>
  </si>
  <si>
    <t>212-708-9100</t>
  </si>
  <si>
    <t>Caroline Hodkinson</t>
  </si>
  <si>
    <t>MS Philanthropy NYU</t>
  </si>
  <si>
    <t>1. Not Contacted</t>
  </si>
  <si>
    <t>Couldn't connect</t>
  </si>
  <si>
    <t>Civilization Research Initiative</t>
  </si>
  <si>
    <t>(858) 367-0629</t>
  </si>
  <si>
    <t>Daniel Schmachtenberger</t>
  </si>
  <si>
    <t>NC</t>
  </si>
  <si>
    <t>Think tank focused on reducing systemic fragility and advancing governance.</t>
  </si>
  <si>
    <t>voicemail tone didn't ring</t>
  </si>
  <si>
    <t>Corient</t>
  </si>
  <si>
    <t>305-351-6650</t>
  </si>
  <si>
    <t>Laura (Boston)</t>
  </si>
  <si>
    <t>Regional Head of Wealth Planning</t>
  </si>
  <si>
    <t>FL</t>
  </si>
  <si>
    <t>Ex-Boston Foundation; CAP</t>
  </si>
  <si>
    <t>Bad number</t>
  </si>
  <si>
    <t>Cresset</t>
  </si>
  <si>
    <t>312-429-2400</t>
  </si>
  <si>
    <t>Laura Neal</t>
  </si>
  <si>
    <t>Director - Family Office Services</t>
  </si>
  <si>
    <t>IL</t>
  </si>
  <si>
    <t>Ex-ICONIQ; philanthropy structuring</t>
  </si>
  <si>
    <t>Destiny Community Services</t>
  </si>
  <si>
    <t>(916) 780-1873</t>
  </si>
  <si>
    <t>Greg Fairrington</t>
  </si>
  <si>
    <t>Health and wellness services for individuals and families.</t>
  </si>
  <si>
    <t>Community Improvement</t>
  </si>
  <si>
    <t>DOGWOOD HEALTH TRUST</t>
  </si>
  <si>
    <t>(828) 771-6710</t>
  </si>
  <si>
    <t>Jehan Benton-Clark</t>
  </si>
  <si>
    <t>Vice President of Grantmaking &amp; Strategy</t>
  </si>
  <si>
    <t>jbentonclark@dhtrust.org</t>
  </si>
  <si>
    <t>Also: Dominica Bockes (Dir Grantmaking Ops) dbockes@dhtrust.org, Mark Constantine (SVP Community Investment). Asheville NC focus.</t>
  </si>
  <si>
    <t xml:space="preserve">no voicemail tone </t>
  </si>
  <si>
    <t>Elmina B Sewall Foundation</t>
  </si>
  <si>
    <t>207-865-3810</t>
  </si>
  <si>
    <t>M. Gabriela Alcalde, MPH, DrPH</t>
  </si>
  <si>
    <t>info@sewallfoundation.org</t>
  </si>
  <si>
    <t>ME</t>
  </si>
  <si>
    <t>Program emails: foodsystems@, ruralpartnerships@, keystone@sewallfoundation.org. Also: Thomas Mitchell (Finance), Amie Hutchison (Animal Welfare), Sonya LaCoute-Dana (Wabanaki). PO Box 1319, Portland, ME 04104.</t>
  </si>
  <si>
    <t>1/9 - rang then dropped</t>
  </si>
  <si>
    <t>Fiduciary Trust</t>
  </si>
  <si>
    <t>617-482-5270</t>
  </si>
  <si>
    <t>Todd Eckler</t>
  </si>
  <si>
    <t>President - FT Charitable</t>
  </si>
  <si>
    <t>DAF innovation</t>
  </si>
  <si>
    <t>Focus Partners</t>
  </si>
  <si>
    <t>617-236-0800</t>
  </si>
  <si>
    <t>Adrienne Penta</t>
  </si>
  <si>
    <t>National Head of Wealth Management</t>
  </si>
  <si>
    <t>Colony Group merger</t>
  </si>
  <si>
    <t>Glenmede Trust</t>
  </si>
  <si>
    <t>215-419-6000</t>
  </si>
  <si>
    <t>Nina Cohen</t>
  </si>
  <si>
    <t>Director - Endowment &amp; Foundation</t>
  </si>
  <si>
    <t>CAP; 10+ yrs</t>
  </si>
  <si>
    <t>ICONIQ Capital</t>
  </si>
  <si>
    <t>415-967-7763</t>
  </si>
  <si>
    <t>Katie Hunt-Morr</t>
  </si>
  <si>
    <t>COO &amp; VP - ICONIQ Impact</t>
  </si>
  <si>
    <t>$519M+ grants advised</t>
  </si>
  <si>
    <t>Limitless Space Institute</t>
  </si>
  <si>
    <t>(281) 339-7800</t>
  </si>
  <si>
    <t>Harold White</t>
  </si>
  <si>
    <t>Director of Advanced Research</t>
  </si>
  <si>
    <t>Inspire next generation to travel beyond our solar system.</t>
  </si>
  <si>
    <t>Call didn't go through</t>
  </si>
  <si>
    <t>Northern Trust</t>
  </si>
  <si>
    <t>312-630-6000</t>
  </si>
  <si>
    <t>Marguerite Griffin</t>
  </si>
  <si>
    <t>SVP - Director Philanthropic Advisory</t>
  </si>
  <si>
    <t>Leads philanthropy advisory</t>
  </si>
  <si>
    <t>Price Philanthropies Foundation</t>
  </si>
  <si>
    <t>858-300-1390</t>
  </si>
  <si>
    <t>San Diego; large grantee network</t>
  </si>
  <si>
    <t>SAMUELI FOUNDATION</t>
  </si>
  <si>
    <t>949-760-4400</t>
  </si>
  <si>
    <t>Annette Fritzsche</t>
  </si>
  <si>
    <t>Director of Grants Management</t>
  </si>
  <si>
    <t>info@samueli.org</t>
  </si>
  <si>
    <t>45 Orange County nonprofits. Major programs: Breakaway Fund ($11M), Build OC Fund (up to $1M capital grants). Very active.</t>
  </si>
  <si>
    <t>1/9 - all representatives were busy</t>
  </si>
  <si>
    <t>Society of Family Planning</t>
  </si>
  <si>
    <t>(866) 584-6758</t>
  </si>
  <si>
    <t>Amanda Dennis DrPH MBE</t>
  </si>
  <si>
    <t>The Society of Family Planning is the source for abortion and contraception science.</t>
  </si>
  <si>
    <t xml:space="preserve">no VM option for her voicemail </t>
  </si>
  <si>
    <t>THE RAYMOND JOHN WEAN FOUNDATION</t>
  </si>
  <si>
    <t>330-744-2131</t>
  </si>
  <si>
    <t>Jennifer Roller</t>
  </si>
  <si>
    <t>seniordirector@weanfoundation.org</t>
  </si>
  <si>
    <t>57% capacity; Youngstown community dev; explicit capacity building programs; RECOMMENDED</t>
  </si>
  <si>
    <t>TRUIST FOUNDATION INC</t>
  </si>
  <si>
    <t>833-307-2351</t>
  </si>
  <si>
    <t>Lynette Bell</t>
  </si>
  <si>
    <t>Executive VP &amp; President, Truist Foundation</t>
  </si>
  <si>
    <t>truistfoundation@truist.com</t>
  </si>
  <si>
    <t>30+ years financial services. Leads Where It Starts $22M initiative. Charlotte NC based. Former SunTrust CRA Officer. LinkedIn: linkedin.com/in/lynette-bell-35b91713/</t>
  </si>
  <si>
    <t xml:space="preserve">Couldn't figure out how to get ahold of someone or leave a message </t>
  </si>
  <si>
    <t>ANDERSON CHILDRENS FOUNDATION</t>
  </si>
  <si>
    <t>760-778-1777</t>
  </si>
  <si>
    <t>Brianna Uhlhorn</t>
  </si>
  <si>
    <t>Director of Grants &amp; Media</t>
  </si>
  <si>
    <t>brianna@andersonchildrensfoundation.org</t>
  </si>
  <si>
    <t>23 grantees focused on Coachella Valley youth. Direct contact with Grants Director email. Small but focused foundation with clear application process.</t>
  </si>
  <si>
    <t>Ball Brothers Foundation</t>
  </si>
  <si>
    <t>765-741-5500</t>
  </si>
  <si>
    <t>Donna Munchel</t>
  </si>
  <si>
    <t>Program Officer &amp; Grants Manager</t>
  </si>
  <si>
    <t>info@ballfdn.org</t>
  </si>
  <si>
    <t>ballfdn.org</t>
  </si>
  <si>
    <t>6 CB grants. Multiple POs - Donna longest tenure (since 2005). Other POs: Dan Wolfert, Jenna Wachtmann. CEO: Jud Fisher. Downtown Muncie, IN.</t>
  </si>
  <si>
    <t>CASEY FAMILY PROGRAMS</t>
  </si>
  <si>
    <t>206-282-7300</t>
  </si>
  <si>
    <t>William C. Bell PhD</t>
  </si>
  <si>
    <t>Ciresi Walburn Foundation</t>
  </si>
  <si>
    <t>612-280-8310</t>
  </si>
  <si>
    <t>Daniel Sellers</t>
  </si>
  <si>
    <t>Central</t>
  </si>
  <si>
    <t>ciresiwalburnfoundation.org</t>
  </si>
  <si>
    <t>5 CB grants ($1.32M). First ED hired 2020. Education focus. 225 S 6th St, Suite 4600, Minneapolis, MN 55402.</t>
  </si>
  <si>
    <t>CLIF FAMILY FOUNDATION</t>
  </si>
  <si>
    <t>510-596-6383</t>
  </si>
  <si>
    <t>info@cliffamilyfoundation.org</t>
  </si>
  <si>
    <t>$564M assets, OPEN applications (March 1 &amp; Aug 1 deadlines). Founded by Clif Bar founders. Professional process, email contact, clear focus areas.</t>
  </si>
  <si>
    <t>Community Memorial Foundation</t>
  </si>
  <si>
    <t>630-654-4729</t>
  </si>
  <si>
    <t>Tom Fuechtmann</t>
  </si>
  <si>
    <t>info@cmfdn.org</t>
  </si>
  <si>
    <t>cmfdn.org</t>
  </si>
  <si>
    <t>LARGEST CB portfolio (195 grants, $1.68M). Incoming CEO: Charlie Corrigan. 15 Spinning Wheel Rd, Suite 326, Hinsdale, IL 60521.</t>
  </si>
  <si>
    <t>CONRAD N HILTON FOUNDATION</t>
  </si>
  <si>
    <t>Christie Cardenas</t>
  </si>
  <si>
    <t>Program Officer - Opportunity Youth</t>
  </si>
  <si>
    <t>ccardenas@hiltonfoundation.org</t>
  </si>
  <si>
    <t>15+ years equity-focused grantmaking. Email pattern based on CEO Peter Laugharn (plaugharn@hiltonfoundation.org). LinkedIn: linkedin.com/in/christie-cardenas/</t>
  </si>
  <si>
    <t>CRANKSTART FOUNDATION</t>
  </si>
  <si>
    <t>Missy Narula</t>
  </si>
  <si>
    <t>Chief Executive Officer</t>
  </si>
  <si>
    <t>communications@crankstart.org</t>
  </si>
  <si>
    <t>$3.9B foundation funding intermediaries (SF Foundation, Tipping Point) that serve community nonprofits. 60% Bay Area focus. Professional CEO. However, does not accept unsolicited inquiries.</t>
  </si>
  <si>
    <t>EDWARDS LIFESCIENCES FOUNDATION</t>
  </si>
  <si>
    <t>949-250-5184</t>
  </si>
  <si>
    <t>Tiffany Simmons</t>
  </si>
  <si>
    <t>Senior Manager, Edwards Lifesciences Foundation</t>
  </si>
  <si>
    <t>28 dependent grantees but mixed profile (includes Stanford Medicine, CAF America for matching gifts). 3 CB service grants. Corporate foundation with health/medical focus. Good community involvement but grantee profile is mixed.</t>
  </si>
  <si>
    <t>Endowment For Health</t>
  </si>
  <si>
    <t>603-228-2448</t>
  </si>
  <si>
    <t>Andie Hession</t>
  </si>
  <si>
    <t>Grants Program Associate</t>
  </si>
  <si>
    <t>NH</t>
  </si>
  <si>
    <t>endowmentforhealth.org</t>
  </si>
  <si>
    <t>42 CB grants ($1.45M). Health-focused CB. 1 Pillsbury St, Suite 301, Concord, NH 03301.</t>
  </si>
  <si>
    <t>Frey Foundation</t>
  </si>
  <si>
    <t>616-451-4552</t>
  </si>
  <si>
    <t>Bryana L. Hopkins</t>
  </si>
  <si>
    <t>hopkins@freyfdn.org</t>
  </si>
  <si>
    <t>freyfdn.org</t>
  </si>
  <si>
    <t>18 CB grants ($538K). Alt PO: Chris Romero romero@freyfdn.org 616-451-4522. President: Holly Johnson johnson@freyfdn.org. 40 Pearl St NW, Suite 1100, Grand Rapids, MI 49503.</t>
  </si>
  <si>
    <t>Georgia Health Initiative</t>
  </si>
  <si>
    <t>404-653-0990</t>
  </si>
  <si>
    <t>Klein Davis</t>
  </si>
  <si>
    <t>info@georgiahealthinitiative.org</t>
  </si>
  <si>
    <t>GA</t>
  </si>
  <si>
    <t>georgiahealthinitiative.org</t>
  </si>
  <si>
    <t>4 CB grants ($505K). Backups: Cindy Zeldin (VP Health Policy), Ky Lindberg (VP Community Engagement). 1075 Peachtree St NE, Suite 3650, Atlanta, GA 30309.</t>
  </si>
  <si>
    <t>HN and Frances C Berger Foundation</t>
  </si>
  <si>
    <t>Catharine N. Reed</t>
  </si>
  <si>
    <t>Vice President - Charitable Programs</t>
  </si>
  <si>
    <t>$489M assets, 23 grantees. Professional staff (President, VP Charitable Programs). Palm Desert based. Focus on education, health, social services. Limited to Coachella Valley area.</t>
  </si>
  <si>
    <t>Hughes Charitable Foundation</t>
  </si>
  <si>
    <t>Molly Hughes</t>
  </si>
  <si>
    <t>Executive Director/President</t>
  </si>
  <si>
    <t>32 dependent Wyoming community nonprofits. 4 CB service grants including strategic planning. Supported 300+ WY organizations since 2020. Focus on vulnerable populations: poor, hungry, housing insecure, veterans, women/children, Indigenous.</t>
  </si>
  <si>
    <t>KEN BIRDWELL FOUNDATION</t>
  </si>
  <si>
    <t> 4254544919</t>
  </si>
  <si>
    <t>Tiffany Johnson</t>
  </si>
  <si>
    <t>Chief Strategy Officer</t>
  </si>
  <si>
    <t>hello@magiccabinet.org</t>
  </si>
  <si>
    <t>General: hello@magiccabinet.org, Partnerships: partnerships@magiccabinet.org. Also consider: Molly Judge (Director of Philanthropic Solutions), Myeshia Grice-Robinson (Co-Program Director). No individual staff emails on website. Preselected-only does NOT matter for B2B sales.</t>
  </si>
  <si>
    <t>KENNETH RAININ FOUNDATION</t>
  </si>
  <si>
    <t>510-625-5200</t>
  </si>
  <si>
    <t>Ted Russell</t>
  </si>
  <si>
    <t>Director of Arts Strategy &amp; Ventures</t>
  </si>
  <si>
    <t>27 dependent grantees focused on Oakland (SF Film Society, Oakland USD, Community Arts Stabilization). 2 CB grants for strategic planning. Strong focus on early childhood literacy in Oakland.</t>
  </si>
  <si>
    <t>LAMB WESTON CHARITABLE FOUNDATION</t>
  </si>
  <si>
    <t>208-869-8548</t>
  </si>
  <si>
    <t>Carrie Cereghino</t>
  </si>
  <si>
    <t>Foundation Coordinator</t>
  </si>
  <si>
    <t>161 dependent grantees including food banks (Second Harvest, Idaho Foodbank, Oregon Food Bank). Named Foundation Coordinator with direct phone. Corporate foundation with community focus.</t>
  </si>
  <si>
    <t>MAPS COMMUNITY FOUNDATION</t>
  </si>
  <si>
    <t>503-375-2449</t>
  </si>
  <si>
    <t>Avery Ackerman</t>
  </si>
  <si>
    <t>Foundation Contact</t>
  </si>
  <si>
    <t>aackerman@mapscu.com</t>
  </si>
  <si>
    <t>Credit union foundation serving Marion/Polk counties Oregon. Named contact (Avery Ackerman). $4.3M assets, 21 grantees. Focus: financial education, capital projects, scholarships. Local but professional.</t>
  </si>
  <si>
    <t>MEYER MEMORIAL TRUST</t>
  </si>
  <si>
    <t>503-228-5512</t>
  </si>
  <si>
    <t>Director of Policy and Programs</t>
  </si>
  <si>
    <t>Decision-maker for programs</t>
  </si>
  <si>
    <t>NAMES FAMILY FOUNDATION</t>
  </si>
  <si>
    <t>253-236-7333</t>
  </si>
  <si>
    <t>Patricia Shults</t>
  </si>
  <si>
    <t>$160M assets, 36 dependent grantees in Pierce County WA. Professional Executive Director (first outside-the-family hire). Niche focus on sports, physical education, health/wellness. Partner on Aspen Institute State of Play report.</t>
  </si>
  <si>
    <t>NV Energy Charitable Foundation</t>
  </si>
  <si>
    <t>775-834-5642</t>
  </si>
  <si>
    <t>L. Harris</t>
  </si>
  <si>
    <t>Staff Contact</t>
  </si>
  <si>
    <t>lharris@nvenergy.com</t>
  </si>
  <si>
    <t>40 dependent grantees in Nevada including United Way, Three Square Food Bank, Public Education Foundation. Explicitly funds nonprofit capacity building. Berkshire Hathaway subsidiary with open grant process.</t>
  </si>
  <si>
    <t>SUNLIGHT GIVING</t>
  </si>
  <si>
    <t>Cedrick Andrews</t>
  </si>
  <si>
    <t>Program Director</t>
  </si>
  <si>
    <t>44 dependent Silicon Valley grantees - all community nonprofits serving low-income families (LifeMoves, Second Harvest Food Banks, Abode Services). 9 CB service grants including organizational development and strategic planning. Professional program team with dedicated grants manager.</t>
  </si>
  <si>
    <t>THE GAP FOUNDATION</t>
  </si>
  <si>
    <t>415-427-7473</t>
  </si>
  <si>
    <t>Mame Annan-Brown</t>
  </si>
  <si>
    <t>Chief Communications Officer (oversees Gap Foundation)</t>
  </si>
  <si>
    <t>250 dependent grantees including GLIDE and OpportunityWork (community nonprofits focused on youth job readiness). Corporate foundation with employee engagement focus.</t>
  </si>
  <si>
    <t>The McConnell Foundation</t>
  </si>
  <si>
    <t>530-226-6200</t>
  </si>
  <si>
    <t>John A. Mancasola</t>
  </si>
  <si>
    <t>$420M assets, 39 dependent grantees in Shasta County/Redding CA. Full professional staff with direct phone lines. Major regional funder supporting local community foundations, education, and environment.</t>
  </si>
  <si>
    <t>1/9 - Talked to Anna buchmen - they don't give capacity building grants and this isn't something they really do (answer is no)</t>
  </si>
  <si>
    <t>THE SATTERBERG FOUNDATION INC</t>
  </si>
  <si>
    <t>82% capacity; 300+ BIPOC-led grantee partners; shifting to RETENTION mode - grantees need other funding; Trust-Based Philanthropy leader</t>
  </si>
  <si>
    <t>THE SOBRATO FAMILY FOUNDATION</t>
  </si>
  <si>
    <t>650-876-7010</t>
  </si>
  <si>
    <t>Alexa Cortés Culwell</t>
  </si>
  <si>
    <t>President, Sobrato Philanthropies</t>
  </si>
  <si>
    <t>Grants to intermediaries serving community nonprofits (Silicon Valley Community Foundation, Foundation for Hispanic Education, Californians Together). 17 CB grants for technical assistance and capacity building. Large professional staff.</t>
  </si>
  <si>
    <t>THE STEVE MIHAYLO AND LOIS MIHAYLO</t>
  </si>
  <si>
    <t>602-732-7990</t>
  </si>
  <si>
    <t>Sarah Mihaylo</t>
  </si>
  <si>
    <t>Madam Chairman</t>
  </si>
  <si>
    <t>31 Arizona community nonprofits (Junior Achievement, Tempe Community Action, HonorHealth). Named board members found. Preselected only but B2B still viable.</t>
  </si>
  <si>
    <t>The Yelp Foundation</t>
  </si>
  <si>
    <t>Marla Landa</t>
  </si>
  <si>
    <t>Yelp Foundation Ambassador</t>
  </si>
  <si>
    <t>marla@yelp.com</t>
  </si>
  <si>
    <t>83 dependent grantees including Hot Bread Kitchen, Fresh Start Womens Foundation, 826NYC - community nonprofits serving local communities. Focus on education and local economic development.</t>
  </si>
  <si>
    <t>THE ZELLERBACH FAMILY FOUNDATION</t>
  </si>
  <si>
    <t>415-421-2629</t>
  </si>
  <si>
    <t>Grants Manager</t>
  </si>
  <si>
    <t>grantsmanager@zff.org</t>
  </si>
  <si>
    <t>$160M assets, 24 grantees. Professional staff with Grants Manager email. 65+ years of grantmaking. BUT very narrow geographic focus: Alameda, Contra Costa, SF counties only.</t>
  </si>
  <si>
    <t>Umpqua Bank Charitable Foundation</t>
  </si>
  <si>
    <t>503-727-4100</t>
  </si>
  <si>
    <t>Randy Choy</t>
  </si>
  <si>
    <t>VP of Philanthropy Programs and Managing Director</t>
  </si>
  <si>
    <t>Community@UmpquaBank.com</t>
  </si>
  <si>
    <t>56 dependent grantees. 12 CB grants for BIPOC entrepreneur TA, business capacity. Grantees are CDFIs/intermediaries (LISC, Seattle EDF, Centro Community Partners) who serve community nonprofits. Corporate foundation but economic development focused.</t>
  </si>
  <si>
    <t>Vincent C and Pamela A Immordino</t>
  </si>
  <si>
    <t>Vincent C. Immordino</t>
  </si>
  <si>
    <t>Founder</t>
  </si>
  <si>
    <t>31 Las Vegas community nonprofits (Catholic Charities, ThreeSquare, Forgotten Dogs Rescue). $20.8M assets, 58 awards in 2024. No direct contact available.</t>
  </si>
  <si>
    <t>WALTER AND ELISE HAAS FUND</t>
  </si>
  <si>
    <t>415-398-4474</t>
  </si>
  <si>
    <t>Jamie Allison</t>
  </si>
  <si>
    <t>28 dependent grantees all community nonprofits (La Cocina, Oakland Promise, Young Womens Freedom Center). 4 CB grants including strategic planning and technical assistance. Professional staff with relationship managers.</t>
  </si>
  <si>
    <t>Webster Bank Charitable Foundation</t>
  </si>
  <si>
    <t>203-578-2415</t>
  </si>
  <si>
    <t>Elaine K. Ficarra</t>
  </si>
  <si>
    <t>Community Development</t>
  </si>
  <si>
    <t>eficarra@websterbank.com</t>
  </si>
  <si>
    <t>DE</t>
  </si>
  <si>
    <t>Also: Kathy Luria (SVP, Dir Philanthropy &amp; Community Affairs), Marissa Weidner (Chief Corporate Responsibility Officer). Stamford CT HQ. CT/MA/NY/RI focus.</t>
  </si>
  <si>
    <t>WEINGART FOUNDATION</t>
  </si>
  <si>
    <t>Joanna Jackson</t>
  </si>
  <si>
    <t>New CEO June 2024; 15 yrs at Weingart; board of GEO &amp; SoCal Grantmakers</t>
  </si>
  <si>
    <t>Researched</t>
  </si>
  <si>
    <t>Date_Contacted</t>
  </si>
  <si>
    <t>Why_Rating</t>
  </si>
  <si>
    <t>Pitch_Angle</t>
  </si>
  <si>
    <t>Assets</t>
  </si>
  <si>
    <t>Grantees</t>
  </si>
  <si>
    <t>Capacity_Pct</t>
  </si>
  <si>
    <t>Accepts_Apps</t>
  </si>
  <si>
    <t>Recommended_Contact</t>
  </si>
  <si>
    <t>Contact_Title</t>
  </si>
  <si>
    <t>Contact_Email</t>
  </si>
  <si>
    <t> </t>
  </si>
  <si>
    <t>Excellent</t>
  </si>
  <si>
    <t>98% capacity grants, small family foundation, 90% grants local to Santa Barbara</t>
  </si>
  <si>
    <t>Your 98% GOS rate shows commitment to nonprofit flexibility. TheGrantScout helps your Santa Barbara grantees find additional local funders.</t>
  </si>
  <si>
    <t>Yes</t>
  </si>
  <si>
    <t>ajff.org</t>
  </si>
  <si>
    <t>California Wellness Foundation</t>
  </si>
  <si>
    <t>52% capacity grants, 1,326 grantees, known leader in core operating support, community nonprofits</t>
  </si>
  <si>
    <t>Your 52% GOS rate shows commitment to nonprofit sustainability. TheGrantScout helps your grantees discover other foundations aligned with their missions.</t>
  </si>
  <si>
    <t>Program Officer - Equity in Access</t>
  </si>
  <si>
    <t>calwellness.org</t>
  </si>
  <si>
    <t>43% capacity grants, 1,637 grantees, funds intermediaries for capacity building, explicit capacity building focus</t>
  </si>
  <si>
    <t>You fund intermediaries for capacity building. TheGrantScout helps your 1,637 grantees find additional funders to diversify their revenue streams.</t>
  </si>
  <si>
    <t>hiltonfoundation.org</t>
  </si>
  <si>
    <t>Good</t>
  </si>
  <si>
    <t>31% capacity grants, 1,021 grantees, strong leadership programs, Colorado focus</t>
  </si>
  <si>
    <t>Your leadership programs build nonprofit capacity. TheGrantScout extends that support by helping grantees find additional Colorado funders.</t>
  </si>
  <si>
    <t>grants@elpomar.org</t>
  </si>
  <si>
    <t>719-633-7733</t>
  </si>
  <si>
    <t>elpomar.org</t>
  </si>
  <si>
    <t>Fred Maytag Family Foundation</t>
  </si>
  <si>
    <t>76% capacity grants but only 81 grantees. Small grantee pool limits B2B scale.</t>
  </si>
  <si>
    <t>Your 76% GOS rate is strong but grantee pool (81) limits B2B scale. Could pilot with your Iowa/California grantees.</t>
  </si>
  <si>
    <t>Frederick L. Maytag III</t>
  </si>
  <si>
    <t>CEO/Vice President</t>
  </si>
  <si>
    <t>N/A - mail only</t>
  </si>
  <si>
    <t>76% capacity grants but only 81 grantees. Small grantee pool limits B2B scale. HQ: 3701 Sacramento St Suite 369, SF CA 94118</t>
  </si>
  <si>
    <t>Joseph Drown Foundation</t>
  </si>
  <si>
    <t>51% capacity grants, 193 grantees, LA County education focus, 70-yr history, professional staff</t>
  </si>
  <si>
    <t>Your 51% GOS focus on LA County education is solid. TheGrantScout helps your grantees discover additional Southern California education funders.</t>
  </si>
  <si>
    <t>Alyssa Santino</t>
  </si>
  <si>
    <t>President of Programs &amp; Operations</t>
  </si>
  <si>
    <t>alyssa@jdrown.org</t>
  </si>
  <si>
    <t>(310) 277-4488</t>
  </si>
  <si>
    <t>jdrown.org</t>
  </si>
  <si>
    <t>Lisa &amp; Douglas Goldman Fund</t>
  </si>
  <si>
    <t>53% capacity grants, 328 grantees, Levi Strauss family, democracy/climate/education focus</t>
  </si>
  <si>
    <t>Your 53% capacity focus and democratic values align well. TheGrantScout helps your grantees build sustainable funding portfolios.</t>
  </si>
  <si>
    <t>Nancy Kami</t>
  </si>
  <si>
    <t>NKami@ldgfund.org (inferred)</t>
  </si>
  <si>
    <t>415-771-1717</t>
  </si>
  <si>
    <t>ldgfund.org</t>
  </si>
  <si>
    <t>Marie Lamfrom Charitable Foundation</t>
  </si>
  <si>
    <t>57% capacity grants, 958 grantees, expanded GOS &amp; multi-year, BIPOC/LGBTQ+ focus, Oregon's #2 capacity builder</t>
  </si>
  <si>
    <t>You've expanded GOS &amp; multi-year funding for sustainability. TheGrantScout helps your 958 Oregon grantees find additional funders to reduce single-funder dependence.</t>
  </si>
  <si>
    <t>marielamfrom.org</t>
  </si>
  <si>
    <t>37% capacity grants, 880 grantees, already partners with Resilia, Oregon's top capacity builder</t>
  </si>
  <si>
    <t>You already partner with Resilia for capacity building. TheGrantScout complements that - helping your 880 Oregon grantees find additional foundation funding.</t>
  </si>
  <si>
    <t>mmt.org</t>
  </si>
  <si>
    <t>68% capacity grants, 118 grantees, Orange County youth focus, small OC nonprofits</t>
  </si>
  <si>
    <t>Your 68% capacity focus on Orange County youth orgs is strong. TheGrantScout helps these grantees discover additional Southern California funders.</t>
  </si>
  <si>
    <t>(714) 546-0755</t>
  </si>
  <si>
    <t>68% capacity grants, 118 grantees, Orange County youth focus. No website. Mail: PO Box 6300, Santa Ana CA 92706</t>
  </si>
  <si>
    <t>93% capacity grants, 387 grantees, small City Heights nonprofits who need funding diversification</t>
  </si>
  <si>
    <t>Your 93% capacity focus on City Heights nonprofits is remarkable. TheGrantScout helps these small orgs find additional funders to reduce dependence on any single source.</t>
  </si>
  <si>
    <t>Invitation Only</t>
  </si>
  <si>
    <t>pricephilanthropies.org</t>
  </si>
  <si>
    <t>Ronald W. Naito MD Foundation</t>
  </si>
  <si>
    <t>64% capacity grants, 211 grantees, Oregon focus, pausing new apps = grantees need other funding</t>
  </si>
  <si>
    <t>You're pausing new applications - your existing grantees need other funding sources! TheGrantScout helps them find additional Oregon funders.</t>
  </si>
  <si>
    <t>Kris Anderson</t>
  </si>
  <si>
    <t>info@rwnfoundation.org</t>
  </si>
  <si>
    <t>rwnfoundation.org</t>
  </si>
  <si>
    <t>The Crail-Johnson Foundation</t>
  </si>
  <si>
    <t>58% capacity grants, 199 grantees, San Pedro/South LA children focus, provides TA to grantees</t>
  </si>
  <si>
    <t>You already provide TA to grantees! TheGrantScout complements that - helping your San Pedro/South LA grantees find additional foundation funding.</t>
  </si>
  <si>
    <t>Rachel Roth</t>
  </si>
  <si>
    <t>rroth@crail-johnson.org</t>
  </si>
  <si>
    <t>(310) 519-7413</t>
  </si>
  <si>
    <t>crail-johnson.org</t>
  </si>
  <si>
    <t>The Kresge Foundation</t>
  </si>
  <si>
    <t>29% capacity grants, 1,264 grantees, LIFT team with $2M/yr capacity building budget</t>
  </si>
  <si>
    <t>Your LIFT team has a $2M/yr capacity building budget. TheGrantScout could be part of your grantee support toolkit.</t>
  </si>
  <si>
    <t>Neesha Modi</t>
  </si>
  <si>
    <t>Director, Program &amp; Social Investment Operations</t>
  </si>
  <si>
    <t>248-643-9630</t>
  </si>
  <si>
    <t>kresge.org</t>
  </si>
  <si>
    <t>82% capacity grants, 292 grantees, 300+ BIPOC-led partners, shifting to retention mode = grantees need other funding</t>
  </si>
  <si>
    <t>You're shifting to RETENTION mode - perfect timing! TheGrantScout helps your 300+ BIPOC-led partners find additional funders as you step back.</t>
  </si>
  <si>
    <t>sfrfoundation.org</t>
  </si>
  <si>
    <t>32% capacity grants, 1,796 grantees, Effective Philanthropy Group, strong OE grants program</t>
  </si>
  <si>
    <t>Your Effective Philanthropy Group funds organizational effectiveness. TheGrantScout helps grantees become more sustainable through funding diversification.</t>
  </si>
  <si>
    <t>Jehan Velji</t>
  </si>
  <si>
    <t>Director - Effective Philanthropy Group</t>
  </si>
  <si>
    <t>jvelji@hewlett.org</t>
  </si>
  <si>
    <t>(650) 234-4500</t>
  </si>
  <si>
    <t>hewlett.org</t>
  </si>
  <si>
    <t>64% capacity grants, 872 grantees, unrestricted core support leader, LA-area community nonprofits</t>
  </si>
  <si>
    <t>Your 64% unrestricted funding shows deep commitment to nonprofit sustainability. TheGrantScout helps your 872 LA-area grantees find additional funders.</t>
  </si>
  <si>
    <t>weingartfnd.org</t>
  </si>
  <si>
    <t>foundation name</t>
  </si>
  <si>
    <t>recommended contact</t>
  </si>
  <si>
    <t>why recommended</t>
  </si>
  <si>
    <t>contact name</t>
  </si>
  <si>
    <t>contact title</t>
  </si>
  <si>
    <t>contact email</t>
  </si>
  <si>
    <t>contact phone</t>
  </si>
  <si>
    <t>contact linkedin</t>
  </si>
  <si>
    <t>ein</t>
  </si>
  <si>
    <t>YES</t>
  </si>
  <si>
    <t>Primary contact with direct email/LinkedIn; most relevant for B2B pitch</t>
  </si>
  <si>
    <t>https://www.linkedin.com/in/christie-cardenas/</t>
  </si>
  <si>
    <t>15+ years equity-focused grantmaking; manages capacity building grants</t>
  </si>
  <si>
    <t>Elizabeth Cheung</t>
  </si>
  <si>
    <t>Sr. Program Officer - Opportunity Youth</t>
  </si>
  <si>
    <t>https://www.linkedin.com/in/elizabeth-cheung-58a8544/</t>
  </si>
  <si>
    <t>Leads New Orleans portfolio including capacity building</t>
  </si>
  <si>
    <t>Angelina McCormick Soll LCSW</t>
  </si>
  <si>
    <t>Program Officer - Foster Youth</t>
  </si>
  <si>
    <t>https://www.linkedin.com/in/angelinasoll/</t>
  </si>
  <si>
    <t>Manages grants to Greater Horizons (capacity building intermediary)</t>
  </si>
  <si>
    <t>Caitlyn Pecoraro</t>
  </si>
  <si>
    <t>Sr. Advocacy Officer - Older Youth</t>
  </si>
  <si>
    <t>https://www.linkedin.com/in/caitlyn-pecoraro-9819a876/</t>
  </si>
  <si>
    <t>Bridges Foster Youth + Opportunity Youth programs</t>
  </si>
  <si>
    <t>https://www.linkedin.com/in/gomezmonica22/</t>
  </si>
  <si>
    <t>20+ years capacity-building experience</t>
  </si>
  <si>
    <t>Jennifer Wright</t>
  </si>
  <si>
    <t>Senior Program Officer</t>
  </si>
  <si>
    <t>https://www.linkedin.com/in/jennifer-wright-calwellness/</t>
  </si>
  <si>
    <t>Leads grantmaking initiatives; supports nonprofit organizations</t>
  </si>
  <si>
    <t>Oversees grants &amp; programs; Fellowship alum</t>
  </si>
  <si>
    <t>Grants Office</t>
  </si>
  <si>
    <t>General grants inquiries</t>
  </si>
  <si>
    <t>Erin Hannan</t>
  </si>
  <si>
    <t>SVP Communications</t>
  </si>
  <si>
    <t>719-577-5750</t>
  </si>
  <si>
    <t>Communications lead</t>
  </si>
  <si>
    <t>https://www.linkedin.com/in/nancy-haque-8470305/</t>
  </si>
  <si>
    <t>Huy Ong</t>
  </si>
  <si>
    <t>Senior Program Officer - Our Resilient Places</t>
  </si>
  <si>
    <t>https://www.linkedin.com/in/huy-ong-a73bb23/</t>
  </si>
  <si>
    <t>Climate and resilience portfolio</t>
  </si>
  <si>
    <t>Allister Byrd</t>
  </si>
  <si>
    <t>Senior Program Officer - Justice Oregon</t>
  </si>
  <si>
    <t>https://www.linkedin.com/in/allister-byrd-03b27382/</t>
  </si>
  <si>
    <t>$25M Black-led orgs initiative</t>
  </si>
  <si>
    <t>Sally Yee</t>
  </si>
  <si>
    <t>https://www.linkedin.com/in/sally-yee-11398853/</t>
  </si>
  <si>
    <t>General Contact</t>
  </si>
  <si>
    <t>General inquiries</t>
  </si>
  <si>
    <t>The California Endowment</t>
  </si>
  <si>
    <t>Large funder but preselected only - not accepting applications</t>
  </si>
  <si>
    <t>Gordon E. and Betty I. Moore Foundation</t>
  </si>
  <si>
    <t>Aileen Lee</t>
  </si>
  <si>
    <t>President (Chief of Programs)</t>
  </si>
  <si>
    <t>650-213-3000</t>
  </si>
  <si>
    <t>https://www.linkedin.com/in/aileen-lee-a404baa2/</t>
  </si>
  <si>
    <t>Oversees all programs; no capacity building focus</t>
  </si>
  <si>
    <t>Ignacio Estrada</t>
  </si>
  <si>
    <t>Director, Grants Administration</t>
  </si>
  <si>
    <t>i***@moore.org</t>
  </si>
  <si>
    <t>12+ years grants admin experience</t>
  </si>
  <si>
    <t>Jennifer Rea Sandin</t>
  </si>
  <si>
    <t>Director, Program Operations</t>
  </si>
  <si>
    <t>https://www.moore.org/people-detail?personUrl=jenniferr</t>
  </si>
  <si>
    <t>Program operations lead</t>
  </si>
  <si>
    <t>communications@moore.org</t>
  </si>
  <si>
    <t>HQ: 1661 Page Mill Road, Palo Alto CA</t>
  </si>
  <si>
    <t>https://www.linkedin.com/in/jehan-velji/</t>
  </si>
  <si>
    <t>30+ yrs capacity building; leads OE program; former Blue Meridian; Harvard MBA</t>
  </si>
  <si>
    <t>Organizational Effectiveness Officer</t>
  </si>
  <si>
    <t>jwei@hewlett.org</t>
  </si>
  <si>
    <t>https://www.linkedin.com/in/jennifer-wei-23477/</t>
  </si>
  <si>
    <t>Oversees capacity grants across all programs; Stanford MBA</t>
  </si>
  <si>
    <t>Amber D. Miller</t>
  </si>
  <si>
    <t>amiller@hewlett.org</t>
  </si>
  <si>
    <t>New president Sept 2024; sets foundation direction</t>
  </si>
  <si>
    <t>https://www.linkedin.com/in/joanna-jackson-91484027</t>
  </si>
  <si>
    <t>Sr. Director of Strategic Partnerships</t>
  </si>
  <si>
    <t>ccrawford@weingartfnd.org</t>
  </si>
  <si>
    <t>NEW ROLE 2024 - manages key stakeholder relationships; former ED Western Center on Law &amp; Poverty</t>
  </si>
  <si>
    <t>Joyce Ybarra</t>
  </si>
  <si>
    <t>jybarra@weingartfnd.org</t>
  </si>
  <si>
    <t>Oversees grantmaking &amp; learning programs; 15+ yrs at foundation; MPH UCLA</t>
  </si>
  <si>
    <t>Eric Medina</t>
  </si>
  <si>
    <t>12+ yrs at Weingart; promoted May 2024</t>
  </si>
  <si>
    <t>Rosa Benitez</t>
  </si>
  <si>
    <t>Director of Program Investments</t>
  </si>
  <si>
    <t>Oversees grant investments</t>
  </si>
  <si>
    <t>303-744-1688</t>
  </si>
  <si>
    <t>https://www.linkedin.com/in/laura-carlson-4425513/</t>
  </si>
  <si>
    <t>15 yrs at Buell; chairs CO Early Childhood Funders Network; decision-maker for grants</t>
  </si>
  <si>
    <t>Steve ErkenBrack</t>
  </si>
  <si>
    <t>s***@buellfoundation.org</t>
  </si>
  <si>
    <t>Started Jan 2023; former DA &amp; Chief Deputy AG Colorado; 10 yrs on board before CEO</t>
  </si>
  <si>
    <t>Jason Callegari</t>
  </si>
  <si>
    <t>Director of Initiatives</t>
  </si>
  <si>
    <t>Leads local financing initiatives; background in early childhood policy</t>
  </si>
  <si>
    <t>Lesa Nesbit</t>
  </si>
  <si>
    <t>Senior Program Officer Supervisor</t>
  </si>
  <si>
    <t>Manages grant review process; relationships with nonprofits</t>
  </si>
  <si>
    <t>info@buellfoundation.org</t>
  </si>
  <si>
    <t>HQ: 1873 S Bellaire St Suite 600 Denver CO 80222</t>
  </si>
  <si>
    <t>https://www.linkedin.com/in/neeshamodi/</t>
  </si>
  <si>
    <t>LEADS LIFT team; $2M/yr capacity building budget; ex-Deloitte talent strategy</t>
  </si>
  <si>
    <t>Caroline Altman Smith</t>
  </si>
  <si>
    <t>Deputy Director, Education</t>
  </si>
  <si>
    <t>https://www.linkedin.com/in/cbasmith</t>
  </si>
  <si>
    <t>LIFT founder; created FUEL program; on Council of Michigan Foundations board</t>
  </si>
  <si>
    <t>Shamar A. Bibbins</t>
  </si>
  <si>
    <t>Managing Director, Environment</t>
  </si>
  <si>
    <t>https://www.linkedin.com/in/shamarbibbins/</t>
  </si>
  <si>
    <t>$23M Climate Change Health Equity initiative; promoted 2024</t>
  </si>
  <si>
    <t>Arnold and Mabel Beckman Foundation</t>
  </si>
  <si>
    <t>Dr. Anne Hultgren</t>
  </si>
  <si>
    <t>Executive Director &amp; CEO</t>
  </si>
  <si>
    <t>949-721-2222</t>
  </si>
  <si>
    <t>*100% is misleading - all grants use generic purpose text; grantees are research universities not nonprofits</t>
  </si>
  <si>
    <t>Catrina Bryant</t>
  </si>
  <si>
    <t>Deputy Director</t>
  </si>
  <si>
    <t>Oversees programs team; CPA; MBA Pepperdine</t>
  </si>
  <si>
    <t>Nicole Patras</t>
  </si>
  <si>
    <t>Sr. Program Officer</t>
  </si>
  <si>
    <t>https://www.linkedin.com/in/nicole-patras-9a823a8b/</t>
  </si>
  <si>
    <t>Leads Beckman Young Investigator Program; heads JEDI committee</t>
  </si>
  <si>
    <t>info@beckman-foundation.org</t>
  </si>
  <si>
    <t>HQ: Irvine CA; focus on scientific research at elite universities</t>
  </si>
  <si>
    <t>https://www.linkedin.com/in/palmerjackson/</t>
  </si>
  <si>
    <t>Family foundation; 4th gen Santa Barbara native; 90% grants local; Yale/Haas MBA</t>
  </si>
  <si>
    <t>https://www.linkedin.com/in/sakara-tear-35853924b/</t>
  </si>
  <si>
    <t>Rosario Iannacone</t>
  </si>
  <si>
    <t>Human Rights Initiative Contact</t>
  </si>
  <si>
    <t>riannacone@pricephilanthropies.org</t>
  </si>
  <si>
    <t>Human Rights/immigrants rights portfolio</t>
  </si>
  <si>
    <t>Leo Adler Trust</t>
  </si>
  <si>
    <t>Carrie Folkman</t>
  </si>
  <si>
    <t>Committee Chair (Volunteer)</t>
  </si>
  <si>
    <t>leo.adler@jpmorgan.com</t>
  </si>
  <si>
    <t>Bank-managed (JPMorgan trustee); hyper-local Baker County pop 18K; volunteer committee; 100% GOS; NOT GOOD B2B - too small/local</t>
  </si>
  <si>
    <t>Mailing: 805 SW Broadway Suite 1000 Portland OR 97205</t>
  </si>
  <si>
    <t>Morgan Stanley advisor; Boys &amp; Girls Club of Central OC board; 68% capacity grants</t>
  </si>
  <si>
    <t>Morgan Roach</t>
  </si>
  <si>
    <t>Secretary</t>
  </si>
  <si>
    <t>Trustee; single father of four</t>
  </si>
  <si>
    <t>James W. Schramm</t>
  </si>
  <si>
    <t>Treasurer</t>
  </si>
  <si>
    <t>CPA 40+ yrs; ex-Price Waterhouse; Cal State Fullerton</t>
  </si>
  <si>
    <t>714-546-0755</t>
  </si>
  <si>
    <t>PO Box 6300 Santa Ana CA 92706; Orange County youth focus; grantees are small OC nonprofits</t>
  </si>
  <si>
    <t>https://www.linkedin.com/in/sarah-walczyk-a010456/</t>
  </si>
  <si>
    <t>Rosa Peralta</t>
  </si>
  <si>
    <t>Senior Program Officer - Equity Impact</t>
  </si>
  <si>
    <t>rperalta@satterberg.org</t>
  </si>
  <si>
    <t>https://www.linkedin.com/in/rosaperalta/</t>
  </si>
  <si>
    <t>Seattle College Board President; 'philanthropic infiltrator'; ex-Marguerite Casey Foundation</t>
  </si>
  <si>
    <t>Monserrat Padilla</t>
  </si>
  <si>
    <t>https://www.linkedin.com/in/monserrat-padilla/</t>
  </si>
  <si>
    <t>12+ yrs capacity building for LGBTQ+ and immigrant orgs; ex-WA Immigrant Solidarity Network</t>
  </si>
  <si>
    <t>W.M. Keck Foundation</t>
  </si>
  <si>
    <t>Allison M. Keller</t>
  </si>
  <si>
    <t>President &amp; CFO</t>
  </si>
  <si>
    <t>info@wmkeck.org</t>
  </si>
  <si>
    <t>(213) 612-2000</t>
  </si>
  <si>
    <t>*75% misleading - grantees are research universities (USC UCLA Caltech Stanford); project grants not capacity</t>
  </si>
  <si>
    <t>Anneli Stone</t>
  </si>
  <si>
    <t>socal@wmkeck.org</t>
  </si>
  <si>
    <t>SoCal Program contact; $100K-$500K project grants to LA nonprofits</t>
  </si>
  <si>
    <t>Saskia Pallais</t>
  </si>
  <si>
    <t>Program officer</t>
  </si>
  <si>
    <t>515 S Flower St Suite 800 LA CA 90071; Research = universities; SoCal = project grants not capacity</t>
  </si>
  <si>
    <t>Family foundation; Newton Iowa roots (Maytag appliance); 76% GOS; small grantee pool (81) limits B2B scale</t>
  </si>
  <si>
    <t>Kenneth P. Maytag</t>
  </si>
  <si>
    <t>CFO/President</t>
  </si>
  <si>
    <t>President/Trustee</t>
  </si>
  <si>
    <t>Julia Damir</t>
  </si>
  <si>
    <t>Foundation Administrator</t>
  </si>
  <si>
    <t>Secretary; manages day-to-day operations</t>
  </si>
  <si>
    <t>3701 Sacramento St Suite 369 San Francisco CA 94118; Iowa focus; avg grant $153K</t>
  </si>
  <si>
    <t>https://www.linkedin.com/in/raeroth/</t>
  </si>
  <si>
    <t>58% GOS; San Pedro/South LA children focus; provides TA to grantees; STRONG B2B prospect</t>
  </si>
  <si>
    <t>info@crail-johnson.org</t>
  </si>
  <si>
    <t>461 W 6th St Suite 300 San Pedro CA 90731; 3 grant cycles (Education/Human Services/Health)</t>
  </si>
  <si>
    <t>https://www.linkedin.com/in/krisandersonpdx/</t>
  </si>
  <si>
    <t>64% capacity; Climate/Health Equity/Oregon Arts focus; PAUSING new apps = grantees need other funding; consultant-run</t>
  </si>
  <si>
    <t>Elizabeth Anderson</t>
  </si>
  <si>
    <t>Board President</t>
  </si>
  <si>
    <t>25 NW 23rd Pl Suite 6-152 Portland OR 97210; founded 2019; $2.8M granted 2023</t>
  </si>
  <si>
    <t>Medina Foundation</t>
  </si>
  <si>
    <t>(206) 652-8783</t>
  </si>
  <si>
    <t>https://www.linkedin.com/in/jennifer-teunon-a5927024</t>
  </si>
  <si>
    <t>SUNSETTING 2025-2028; no new LOIs after July 2025; 30 yrs nonprofit exp; ED since 2013</t>
  </si>
  <si>
    <t>Aana Lauckhart</t>
  </si>
  <si>
    <t>King County grantmaking since 2012</t>
  </si>
  <si>
    <t>Jessica Case</t>
  </si>
  <si>
    <t>Rural counties focus</t>
  </si>
  <si>
    <t>801 2nd Ave Suite 1108 Seattle WA 98104; 55% capacity but WINDING DOWN - not a B2B target</t>
  </si>
  <si>
    <t>https://www.linkedin.com/in/johntylerhobbs/</t>
  </si>
  <si>
    <t>Keisha Olsen</t>
  </si>
  <si>
    <t>Director of Grant Programs</t>
  </si>
  <si>
    <t>keisha@marielamfrom.org</t>
  </si>
  <si>
    <t>https://www.linkedin.com/in/keisha-olsen-590484ab/</t>
  </si>
  <si>
    <t>Oversees Zinnia Grant (transformative awards); manages Program Officer team</t>
  </si>
  <si>
    <t>Brittany Leland</t>
  </si>
  <si>
    <t>Sr. Director of Operations</t>
  </si>
  <si>
    <t>brittany@marielamfrom.org</t>
  </si>
  <si>
    <t>Operations lead; could discuss infrastructure tools</t>
  </si>
  <si>
    <t>Marina Bhargava</t>
  </si>
  <si>
    <t>marina@marielamfrom.org</t>
  </si>
  <si>
    <t>Evaluates applicants; direct grantee relationships</t>
  </si>
  <si>
    <t>info@marielamfrom.org</t>
  </si>
  <si>
    <t>29030 SW Town Center Loop E Ste 202 Wilsonville OR 97070; Rose/Daffodil = capacity grants</t>
  </si>
  <si>
    <t>The Marisla Foundation</t>
  </si>
  <si>
    <t>Sara Lowell</t>
  </si>
  <si>
    <t>Marine Program Director</t>
  </si>
  <si>
    <t>sara@marisla.org</t>
  </si>
  <si>
    <t>949-494-0365</t>
  </si>
  <si>
    <t>*57% capacity misleading - grantees are large env orgs (Oceana TNC NRDC) &amp; intermediaries; not small nonprofits needing funding help</t>
  </si>
  <si>
    <t>Peggy Lauer</t>
  </si>
  <si>
    <t>Human Services Program Director / Administrator</t>
  </si>
  <si>
    <t>peggy@marisla.org</t>
  </si>
  <si>
    <t>Human Services via OC Community Foundation; funding few new grantees; 3 staff</t>
  </si>
  <si>
    <t>https://www.linkedin.com/in/nancy-kami-0014a95/</t>
  </si>
  <si>
    <t>53% capacity; 27 yrs at fund; Levi Strauss heir family; $14.3M granted 2024; democracy/climate/education focus</t>
  </si>
  <si>
    <t>Pamela Allen</t>
  </si>
  <si>
    <t>PAllen@ldgfund.org (inferred)</t>
  </si>
  <si>
    <t>Program officer; manages grantmaking; SF Bay Area based</t>
  </si>
  <si>
    <t>Debbie Findling Ed.D</t>
  </si>
  <si>
    <t>Strategic Philanthropy Advisor</t>
  </si>
  <si>
    <t>Strategic role; Ed.D suggests capacity/education background</t>
  </si>
  <si>
    <t>[email protected]</t>
  </si>
  <si>
    <t>1 Montgomery St Suite 3440 SF CA 94104; email format: FLast@ldgfund.org</t>
  </si>
  <si>
    <t>https://www.linkedin.com/in/alyssa-santino-67a90397/</t>
  </si>
  <si>
    <t>51% GOS; LA County education focus; 70-yr history; professional staff; grants $100K-500K</t>
  </si>
  <si>
    <t>Ann Miller</t>
  </si>
  <si>
    <t>President of Finance &amp; Investments</t>
  </si>
  <si>
    <t>ann@jdrown.org</t>
  </si>
  <si>
    <t>Finance lead</t>
  </si>
  <si>
    <t>Anamaria Alarcón</t>
  </si>
  <si>
    <t>Program Associate</t>
  </si>
  <si>
    <t>anamaria@jdrown.org</t>
  </si>
  <si>
    <t>Program associate; grantee relationships</t>
  </si>
  <si>
    <t>Wendy Wachtell</t>
  </si>
  <si>
    <t>Board Chair</t>
  </si>
  <si>
    <t>Board Chair; key decision-maker</t>
  </si>
  <si>
    <t>info@jdrown.org</t>
  </si>
  <si>
    <t>LA County; deadlines Jan/Apr/Jul/Oct 15; max 4 consecutive yrs funding</t>
  </si>
  <si>
    <t>1875 Finance</t>
  </si>
  <si>
    <t>+41-22-310-1875</t>
  </si>
  <si>
    <t>TBD</t>
  </si>
  <si>
    <t>CH</t>
  </si>
  <si>
    <t>Swiss</t>
  </si>
  <si>
    <t>Alliance for Innovative Regulation</t>
  </si>
  <si>
    <t>(917) 446-5425</t>
  </si>
  <si>
    <t>David Ehrich</t>
  </si>
  <si>
    <t>DC</t>
  </si>
  <si>
    <t>Promoting responsible innovation to solve financial services challenges.</t>
  </si>
  <si>
    <t>Bad</t>
  </si>
  <si>
    <t>Science focus; very high capacity %</t>
  </si>
  <si>
    <t>Atkinson Foundation</t>
  </si>
  <si>
    <t>650-876-0222</t>
  </si>
  <si>
    <t>Bay Area</t>
  </si>
  <si>
    <t>Austin Justice Coalition</t>
  </si>
  <si>
    <t>(512) 576-8152</t>
  </si>
  <si>
    <t>Chas Moore</t>
  </si>
  <si>
    <t>Improving quality of life for people of color in Austin.</t>
  </si>
  <si>
    <t>Ballentine Partners</t>
  </si>
  <si>
    <t>781-314-1300</t>
  </si>
  <si>
    <t>Fee-only</t>
  </si>
  <si>
    <t>Bangor Savings Bank Foundation</t>
  </si>
  <si>
    <t>(877) 226-4671</t>
  </si>
  <si>
    <t>Foundation Team</t>
  </si>
  <si>
    <t>Foundation Staff</t>
  </si>
  <si>
    <t>https://www.bangor.com/the-bangor-savings-bank-foundation</t>
  </si>
  <si>
    <t>Battle Creek, MI; use Concierge Desk for inquiries</t>
  </si>
  <si>
    <t>Bess J. Hodges Foundation</t>
  </si>
  <si>
    <t>Very high capacity %</t>
  </si>
  <si>
    <t>Blue Shield of California Foundation</t>
  </si>
  <si>
    <t>415-901-3200</t>
  </si>
  <si>
    <t>Healthcare focus; good network</t>
  </si>
  <si>
    <t>Brittingham Family Foundation</t>
  </si>
  <si>
    <t>San Diego</t>
  </si>
  <si>
    <t>Caprock</t>
  </si>
  <si>
    <t>208-368-9600</t>
  </si>
  <si>
    <t>Sophie Kelly</t>
  </si>
  <si>
    <t>Director of Impact Investments</t>
  </si>
  <si>
    <t>Impact investing</t>
  </si>
  <si>
    <t>Charlotte Y. Martin Foundation</t>
  </si>
  <si>
    <t>Washington; high capacity %</t>
  </si>
  <si>
    <t>Coda Media</t>
  </si>
  <si>
    <t>(650) 208-6846</t>
  </si>
  <si>
    <t>Natalia Antelava</t>
  </si>
  <si>
    <t>CEO &amp; Editor-in-Chief</t>
  </si>
  <si>
    <t>Publishing news articles on global crises - making complex issues accessible.</t>
  </si>
  <si>
    <t>Media</t>
  </si>
  <si>
    <t>Competency-Based Education Network</t>
  </si>
  <si>
    <t>(615) 517-1256</t>
  </si>
  <si>
    <t>Charla Sheid Long</t>
  </si>
  <si>
    <t>Catalyzing competency and skills-first society for all individuals.</t>
  </si>
  <si>
    <t>Conrad Prebys Foundation</t>
  </si>
  <si>
    <t>858-565-6480</t>
  </si>
  <si>
    <t>$1.1B assets; San Diego</t>
  </si>
  <si>
    <t>Crescent Grove</t>
  </si>
  <si>
    <t>847-752-9479</t>
  </si>
  <si>
    <t>Midwest</t>
  </si>
  <si>
    <t>Crestview Academy</t>
  </si>
  <si>
    <t>(715) 835-2275</t>
  </si>
  <si>
    <t>Margaret Waldhart-Larsen</t>
  </si>
  <si>
    <t>Helping students reach potential academically and morally.</t>
  </si>
  <si>
    <t>CS Fund</t>
  </si>
  <si>
    <t>Descendants Truth and Reconciliation</t>
  </si>
  <si>
    <t>(225) 297-1120</t>
  </si>
  <si>
    <t>La June Montgomery Tabron</t>
  </si>
  <si>
    <t>LA</t>
  </si>
  <si>
    <t>Supporting truth-seeking, racial healing and transformation programs.</t>
  </si>
  <si>
    <t>Dogwood Health Trust</t>
  </si>
  <si>
    <t>Grants Help Desk</t>
  </si>
  <si>
    <t>Via Grants Help Desk</t>
  </si>
  <si>
    <t>https://dogwoodhealthtrust.org/about/meet-the-team/</t>
  </si>
  <si>
    <t>Los Angeles-based; Southern California focus</t>
  </si>
  <si>
    <t>Educopia Institute</t>
  </si>
  <si>
    <t>(404) 532-9766</t>
  </si>
  <si>
    <t>Jessica Meyerson</t>
  </si>
  <si>
    <t>Co-Executive Director</t>
  </si>
  <si>
    <t>Connecting diverse knowledge communities with resources and power.</t>
  </si>
  <si>
    <t>Elmina B. Sewall Foundation</t>
  </si>
  <si>
    <t>(207) 373-9206</t>
  </si>
  <si>
    <t>Laura Dover</t>
  </si>
  <si>
    <t>Grants Contact</t>
  </si>
  <si>
    <t>https://sewallfoundation.org/staff-board</t>
  </si>
  <si>
    <t>~130 employees; ~$631M annual grantmaking; ~3,000 active grants</t>
  </si>
  <si>
    <t>Firedoll Foundation</t>
  </si>
  <si>
    <t>Fleishhacker Foundation</t>
  </si>
  <si>
    <t>415-561-5350</t>
  </si>
  <si>
    <t>SF Bay Area</t>
  </si>
  <si>
    <t>Foundation Source</t>
  </si>
  <si>
    <t>800-839-0054</t>
  </si>
  <si>
    <t>Elizabeth Wong</t>
  </si>
  <si>
    <t>Head of Philanthropic Advisory</t>
  </si>
  <si>
    <t>TOP TARGET</t>
  </si>
  <si>
    <t>Frontlines International</t>
  </si>
  <si>
    <t>(813) 293-6206</t>
  </si>
  <si>
    <t>Charles White</t>
  </si>
  <si>
    <t>Supporting persecuted Christians worldwide.</t>
  </si>
  <si>
    <t>FThree Foundation</t>
  </si>
  <si>
    <t>Fusion Global</t>
  </si>
  <si>
    <t>(856) 341-0396</t>
  </si>
  <si>
    <t>Jason Sobel</t>
  </si>
  <si>
    <t>Connecting old and new to bring faith alive in new ways.</t>
  </si>
  <si>
    <t>Religion</t>
  </si>
  <si>
    <t>Gaia Fund</t>
  </si>
  <si>
    <t>Environment focus</t>
  </si>
  <si>
    <t>Gaylord and Dorothy Donnelley Foundation</t>
  </si>
  <si>
    <t>(312) 977-2700</t>
  </si>
  <si>
    <t>https://gddf.org/about/staff/</t>
  </si>
  <si>
    <t>Board Chair: Linda Hilton; $7B+ in assets</t>
  </si>
  <si>
    <t>Global 70 MFO</t>
  </si>
  <si>
    <t>HK</t>
  </si>
  <si>
    <t>Network of 70 families</t>
  </si>
  <si>
    <t>Global Food Partners</t>
  </si>
  <si>
    <t>(727) 237-6223</t>
  </si>
  <si>
    <t>Elissa Lane</t>
  </si>
  <si>
    <t>Improving conditions for animals in food supply chain - cage-free eggs focus.</t>
  </si>
  <si>
    <t>Food &amp; Nutrition</t>
  </si>
  <si>
    <t>Gresham Partners</t>
  </si>
  <si>
    <t>312-327-5020</t>
  </si>
  <si>
    <t>Pritzker connections</t>
  </si>
  <si>
    <t>Growth Opportunity Partners</t>
  </si>
  <si>
    <t>(216) 462-0600</t>
  </si>
  <si>
    <t>Michael Jeans</t>
  </si>
  <si>
    <t>Advisory services for under-resourced communities to improve quality of life.</t>
  </si>
  <si>
    <t>Hatch Inc</t>
  </si>
  <si>
    <t>(317) 331-3364</t>
  </si>
  <si>
    <t>Daniel Leckie</t>
  </si>
  <si>
    <t>Hatch for Hunger connects egg producers with food banks - 11M eggs in 36 states.</t>
  </si>
  <si>
    <t>Hero's Journey Foundation</t>
  </si>
  <si>
    <t>(412) 363-1530</t>
  </si>
  <si>
    <t>Michael Mervosh</t>
  </si>
  <si>
    <t>Adventures and experiences for individuals seeking spirit and aliveness.</t>
  </si>
  <si>
    <t>Mental Health</t>
  </si>
  <si>
    <t>Hottinger Group</t>
  </si>
  <si>
    <t>+44-20-7399-0000</t>
  </si>
  <si>
    <t>UK</t>
  </si>
  <si>
    <t>Rothschild 2025</t>
  </si>
  <si>
    <t>Houston Endowment</t>
  </si>
  <si>
    <t>(713) 238-8100</t>
  </si>
  <si>
    <t>Communications Team</t>
  </si>
  <si>
    <t>Via Invited Process</t>
  </si>
  <si>
    <t>https://houstonendowment.org/about/people</t>
  </si>
  <si>
    <t>Hutton Foundation</t>
  </si>
  <si>
    <t>Intrepid Philanthropy Foundation</t>
  </si>
  <si>
    <t>James F. &amp; Marion L. Miller Foundation</t>
  </si>
  <si>
    <t>503-228-0492</t>
  </si>
  <si>
    <t>Oregon arts/education</t>
  </si>
  <si>
    <t>John D. and Catherine T. MacArthur Foundation</t>
  </si>
  <si>
    <t>(312) 726-8000</t>
  </si>
  <si>
    <t>Grants Team</t>
  </si>
  <si>
    <t>Info for Grantseekers</t>
  </si>
  <si>
    <t>https://www.macfound.org/about/contact-us</t>
  </si>
  <si>
    <t>President: Brenda Solórzano; oversees grant programs and health justice funding</t>
  </si>
  <si>
    <t>310-277-4488</t>
  </si>
  <si>
    <t>LA area</t>
  </si>
  <si>
    <t>Kankouran West African Dance</t>
  </si>
  <si>
    <t>(202) 518-1213</t>
  </si>
  <si>
    <t>Assane Konte</t>
  </si>
  <si>
    <t>Preserving and promoting traditional West African performing arts.</t>
  </si>
  <si>
    <t>Kennedy Wilson Charitable Foundation</t>
  </si>
  <si>
    <t>High capacity %</t>
  </si>
  <si>
    <t>Koret Foundation</t>
  </si>
  <si>
    <t>415-882-7740</t>
  </si>
  <si>
    <t>SF Bay Area; large grantee network</t>
  </si>
  <si>
    <t>Oregon regional</t>
  </si>
  <si>
    <t>TOP 5 PRIORITY - 958 grantees Oregon</t>
  </si>
  <si>
    <t>McCune Charitable Foundation</t>
  </si>
  <si>
    <t>(505) 983-8300</t>
  </si>
  <si>
    <t>Ernesto Torres</t>
  </si>
  <si>
    <t>https://www.nmmccune.org/about/</t>
  </si>
  <si>
    <t>Directors: Lauren Bon, Gregory Annenberg Weingarten, Charles Annenberg Weingarten</t>
  </si>
  <si>
    <t>They are winding down and their grantees need new funders.</t>
  </si>
  <si>
    <t>Meeschaert</t>
  </si>
  <si>
    <t>+33-1-53-40-20-20</t>
  </si>
  <si>
    <t>FR</t>
  </si>
  <si>
    <t>French</t>
  </si>
  <si>
    <t>Mid-Hudson Energy Transition</t>
  </si>
  <si>
    <t>(845) 383-1050</t>
  </si>
  <si>
    <t>Susan Gillespie</t>
  </si>
  <si>
    <t>Empowering municipalities to own renewable energy and build community wealth.</t>
  </si>
  <si>
    <t>Mitchell Kapor Foundation</t>
  </si>
  <si>
    <t>Tech/social justice</t>
  </si>
  <si>
    <t>Munzer Foundation</t>
  </si>
  <si>
    <t>National Assoc for Family School &amp; Community</t>
  </si>
  <si>
    <t>(703) 518-5546</t>
  </si>
  <si>
    <t>Vito Borrello</t>
  </si>
  <si>
    <t>Advancing family engagement practices to improve children's learning.</t>
  </si>
  <si>
    <t>Organizing Institute South and West</t>
  </si>
  <si>
    <t>(512) 459-6551</t>
  </si>
  <si>
    <t>Joe Rubio</t>
  </si>
  <si>
    <t>Strengthening organizing and developing organizers for Industrial Areas Foundation.</t>
  </si>
  <si>
    <t>Otto Bremer Trust</t>
  </si>
  <si>
    <t>(651) 227-8036</t>
  </si>
  <si>
    <t>Danielle Cheslog</t>
  </si>
  <si>
    <t>Director of Grant Operations</t>
  </si>
  <si>
    <t>https://ottobremer.org/about-us/staff-trustees/</t>
  </si>
  <si>
    <t>Chicago-based; arts, land conservation, and regional programs</t>
  </si>
  <si>
    <t>Oyate Group</t>
  </si>
  <si>
    <t>(718) 344-2930</t>
  </si>
  <si>
    <t>Tomas Ramos</t>
  </si>
  <si>
    <t>Alleviating poverty through sustainable solutions for NYC communities.</t>
  </si>
  <si>
    <t>Youth Development</t>
  </si>
  <si>
    <t>Pinpoint Foundation</t>
  </si>
  <si>
    <t>Pipeline Inc</t>
  </si>
  <si>
    <t>(913) 307-0004</t>
  </si>
  <si>
    <t>Melissa Vincent</t>
  </si>
  <si>
    <t>KS</t>
  </si>
  <si>
    <t>Entrepreneurial program for high-growth companies in the Midwest.</t>
  </si>
  <si>
    <t>Pittsburgh Christian Academy</t>
  </si>
  <si>
    <t>(412) 235-9757</t>
  </si>
  <si>
    <t>John Isett</t>
  </si>
  <si>
    <t>Christian school offering Christian-based curriculum.</t>
  </si>
  <si>
    <t>Pohlad Family Foundation</t>
  </si>
  <si>
    <t>(612) 661-3801</t>
  </si>
  <si>
    <t>Brian Paulson</t>
  </si>
  <si>
    <t>Contact from 990</t>
  </si>
  <si>
    <t>https://pohladfoundation.org/our-team/</t>
  </si>
  <si>
    <t>New Mexico focus; Santa Fe-based</t>
  </si>
  <si>
    <t>Ralph Wilson Park Conservancy</t>
  </si>
  <si>
    <t>(716) 479-4124</t>
  </si>
  <si>
    <t>Katie Campos</t>
  </si>
  <si>
    <t>Operating and maintaining parks and public spaces in Buffalo, NY.</t>
  </si>
  <si>
    <t>Recreation</t>
  </si>
  <si>
    <t>Richter Family Office</t>
  </si>
  <si>
    <t>+1-514-934-3400</t>
  </si>
  <si>
    <t>QC</t>
  </si>
  <si>
    <t>Canadian</t>
  </si>
  <si>
    <t>Rockefeller Capital</t>
  </si>
  <si>
    <t>212-549-5100</t>
  </si>
  <si>
    <t>Timothy O'Hara</t>
  </si>
  <si>
    <t>President - Multi-Family Office</t>
  </si>
  <si>
    <t>Philanthropy solutions team</t>
  </si>
  <si>
    <t>Oregon; healthcare focus</t>
  </si>
  <si>
    <t>S. Mark Taper Foundation</t>
  </si>
  <si>
    <t>213-229-0134</t>
  </si>
  <si>
    <t>Safe City Commission</t>
  </si>
  <si>
    <t>(817) 885-7774</t>
  </si>
  <si>
    <t>Ken Shetter</t>
  </si>
  <si>
    <t>Supporting law enforcement and crime prevention in Fort Worth.</t>
  </si>
  <si>
    <t>Public Safety</t>
  </si>
  <si>
    <t>Sand Hill Foundation</t>
  </si>
  <si>
    <t>Silicon Valley</t>
  </si>
  <si>
    <t>Sierra Health Foundation</t>
  </si>
  <si>
    <t>Sacramento; health focus</t>
  </si>
  <si>
    <t>Silvercrest</t>
  </si>
  <si>
    <t>212-649-0600</t>
  </si>
  <si>
    <t>Director - Foundation Services</t>
  </si>
  <si>
    <t>OCIO focus</t>
  </si>
  <si>
    <t>Stanhope Capital</t>
  </si>
  <si>
    <t>+44-20-7822-0900</t>
  </si>
  <si>
    <t>UK-based</t>
  </si>
  <si>
    <t>State Power Caucus</t>
  </si>
  <si>
    <t>(703) 912-1264</t>
  </si>
  <si>
    <t>Margie Del Castillo</t>
  </si>
  <si>
    <t>Building multiracial alignment for economic, racial, environmental justice.</t>
  </si>
  <si>
    <t>Stonehage Fleming</t>
  </si>
  <si>
    <t>+44-1534-500-400</t>
  </si>
  <si>
    <t>Global; need UK research</t>
  </si>
  <si>
    <t>T. Gary &amp; Kathleen Rogers Foundation</t>
  </si>
  <si>
    <t>100% capacity grants</t>
  </si>
  <si>
    <t>TAG Associates</t>
  </si>
  <si>
    <t>212-274-0200</t>
  </si>
  <si>
    <t>Need research</t>
  </si>
  <si>
    <t>The Annenberg Foundation</t>
  </si>
  <si>
    <t>(610) 341-9268</t>
  </si>
  <si>
    <t>Leadership Team</t>
  </si>
  <si>
    <t>Directors</t>
  </si>
  <si>
    <t>https://annenberg.org/about/contact-us/</t>
  </si>
  <si>
    <t>Chattanooga, TN-based; faith-based grantmaking</t>
  </si>
  <si>
    <t>The Autzen Foundation</t>
  </si>
  <si>
    <t>Oregon; 652 grantees - large network</t>
  </si>
  <si>
    <t>The Bamford Foundation</t>
  </si>
  <si>
    <t>Washington</t>
  </si>
  <si>
    <t>(213) 928-8800</t>
  </si>
  <si>
    <t>Carolyn Wang Kong</t>
  </si>
  <si>
    <t>https://www.calendow.org/about/leadership/</t>
  </si>
  <si>
    <t>Health-focused foundation in Los Angeles area</t>
  </si>
  <si>
    <t>LA area children/youth</t>
  </si>
  <si>
    <t>The Fletcher Jones Foundation</t>
  </si>
  <si>
    <t>213-943-4646</t>
  </si>
  <si>
    <t>Higher education focus</t>
  </si>
  <si>
    <t>The Howard Gilman Foundation</t>
  </si>
  <si>
    <t>(212) 408-0400</t>
  </si>
  <si>
    <t>Via Contact Page</t>
  </si>
  <si>
    <t>https://howardgilmanfoundation.org/our-team/</t>
  </si>
  <si>
    <t>Troy, MI; $4B+ assets; arts, education, environment, health</t>
  </si>
  <si>
    <t>(248) 643-9630</t>
  </si>
  <si>
    <t>Director of Program &amp; Social Investment Operations</t>
  </si>
  <si>
    <t>https://www.kresge.org/about/</t>
  </si>
  <si>
    <t>Houston area focus; invited applicants only; $2.4B assets</t>
  </si>
  <si>
    <t>The MacLellan Foundation</t>
  </si>
  <si>
    <t>(423) 755-1051</t>
  </si>
  <si>
    <t>David G. Denmark</t>
  </si>
  <si>
    <t>https://www.maclellan.net/about/</t>
  </si>
  <si>
    <t>Denver-based; children and families in Colorado focus</t>
  </si>
  <si>
    <t>https://www.mcknight.org/about/staff-board/</t>
  </si>
  <si>
    <t>Exec Dir: Stephanie Cornell; $5.7B assets; education, environment, home region</t>
  </si>
  <si>
    <t>The Ralph M. Parsons Foundation</t>
  </si>
  <si>
    <t>213-362-7600</t>
  </si>
  <si>
    <t>TOP 5 PRIORITY - 729 grantees</t>
  </si>
  <si>
    <t>The Renaissance Foundation</t>
  </si>
  <si>
    <t>Oregon</t>
  </si>
  <si>
    <t>The Roddenberry Foundation</t>
  </si>
  <si>
    <t>Star Trek legacy; social justice</t>
  </si>
  <si>
    <t>The Russell Family Foundation</t>
  </si>
  <si>
    <t>253-858-5050</t>
  </si>
  <si>
    <t>Washington; environment</t>
  </si>
  <si>
    <t>The Skoll Foundation</t>
  </si>
  <si>
    <t>650-331-1031</t>
  </si>
  <si>
    <t>Social entrepreneurship</t>
  </si>
  <si>
    <t>The Sobrato Family Foundation</t>
  </si>
  <si>
    <t>650-917-2464</t>
  </si>
  <si>
    <t>$877M assets; Silicon Valley</t>
  </si>
  <si>
    <t>The Zellerbach Family Foundation</t>
  </si>
  <si>
    <t>SF Bay Area; immigrant focus</t>
  </si>
  <si>
    <t>Thelma Gibson Health Initiative</t>
  </si>
  <si>
    <t>(305) 446-1543</t>
  </si>
  <si>
    <t>Merline Barton</t>
  </si>
  <si>
    <t>Quality social services for underserved groups in Coconut Grove and South Miami.</t>
  </si>
  <si>
    <t>Health</t>
  </si>
  <si>
    <t>Tolleson Wealth</t>
  </si>
  <si>
    <t>214-252-3250</t>
  </si>
  <si>
    <t>Texas-based</t>
  </si>
  <si>
    <t>Tony Blair Foundation</t>
  </si>
  <si>
    <t>(760) 586-4242</t>
  </si>
  <si>
    <t>Paolo Pellegrini</t>
  </si>
  <si>
    <t>Supporting governance initiatives across Africa.</t>
  </si>
  <si>
    <t>International</t>
  </si>
  <si>
    <t>Upturn Inc</t>
  </si>
  <si>
    <t>(202) 677-2359</t>
  </si>
  <si>
    <t>Harlan Yu</t>
  </si>
  <si>
    <t>President &amp; Executive Director</t>
  </si>
  <si>
    <t>Advancing equity and justice in technology design and governance.</t>
  </si>
  <si>
    <t>Veritable LP</t>
  </si>
  <si>
    <t>610-640-3511</t>
  </si>
  <si>
    <t>Merging w/ Pathstone</t>
  </si>
  <si>
    <t>W.K. Kellogg Foundation</t>
  </si>
  <si>
    <t>(269) 968-1611</t>
  </si>
  <si>
    <t>https://www.wkkf.org/people/</t>
  </si>
  <si>
    <t>Maine-focused; 4-day work week Mon-Thu; remote staff</t>
  </si>
  <si>
    <t>213-680-3833</t>
  </si>
  <si>
    <t>TOP 5 PRIORITY - $1.5B assets</t>
  </si>
  <si>
    <t>Walter and Elise Haas Fund</t>
  </si>
  <si>
    <t>415-856-1400</t>
  </si>
  <si>
    <t>SF Bay Area; known for GOS</t>
  </si>
  <si>
    <t>(479) 464-1570</t>
  </si>
  <si>
    <t>Sara Guillaume</t>
  </si>
  <si>
    <t>Director, Grants Management &amp; Operations</t>
  </si>
  <si>
    <t>https://www.waltonfamilyfoundation.org/about-us/staff</t>
  </si>
  <si>
    <t>Minneapolis-based; founded by Carl and Eloise Pohlad</t>
  </si>
  <si>
    <t>WE Family Offices</t>
  </si>
  <si>
    <t>305-825-2225</t>
  </si>
  <si>
    <t>Outsourced MFO</t>
  </si>
  <si>
    <t>Foundation Name</t>
  </si>
  <si>
    <t>Time Zone</t>
  </si>
  <si>
    <t>Contact Name</t>
  </si>
  <si>
    <t>Contact Title</t>
  </si>
  <si>
    <t>LinkedIn</t>
  </si>
  <si>
    <t>Why This Rating</t>
  </si>
  <si>
    <t>Notes</t>
  </si>
  <si>
    <t>$104M assets. Top grantees: YMCA Seattle, Plymouth Housing, DESC, Housing Hope - all community nonprofits. Staff: Jessica Case &amp; Aana Lauckhart (Senior Program Officers), Alexia Casiano (Grants Manager). No longer accepting new LOIs as of July 2025. Address: 801 2nd Ave #1108, Seattle WA 98104.</t>
  </si>
  <si>
    <t>$636M assets. Managed by Third Plateau. ED: Annie Ulevitch. Collaborative Change Initiative. $310M granted to date. Accelerating giving before 2034 sunset. Media: media@thirdplateau.com. Address: 595 Market St #820, SF CA 94105.</t>
  </si>
  <si>
    <t>$90M assets. Founded by Jeff &amp; Tricia Raikes (Microsoft). Chief of Staff: Fatima Gulamali. ~24 employees. Focus: K-12 education, youth housing stability, impact philanthropy, community organizing. Address: 2157 N Northlake Way #220, Seattle WA 98103.</t>
  </si>
  <si>
    <t>WWW.SEMPRAFOUNDATION.ORG</t>
  </si>
  <si>
    <t>Address: 488 8th Avenue, HQ08S3, San Diego CA 92101. Also: Andy Carrasco (Director). Recent grantees: Monarch School (homeless youth), MAAC (anti-poverty), Voices for Children (CASAs). Online application portal available. Founded 2007, invested $50M+.</t>
  </si>
  <si>
    <t>Mr. Reuter</t>
  </si>
  <si>
    <t>firstinterstatebank.com</t>
  </si>
  <si>
    <t>WWW.COLORADOHEALTH.ORG</t>
  </si>
  <si>
    <t>Chief Impact Officer: Bruce Byington (303.953.3689). VP Philanthropy: Amy Latham (303.953.3670). Main: 303-953-3600. Address: 1780 Pennsylvania St, Denver CO 80203. Focus: health equity in Colorado. Top grantees: Trailhead Institute, Latino Community Foundation, Ute tribes, Denver Foundation.</t>
  </si>
  <si>
    <t>https://www.linkedin.com/in/keavy-cook-ab758110/</t>
  </si>
  <si>
    <t>www.tfff.org</t>
  </si>
  <si>
    <t>171 dependent rural Oregon grantees. 64 CB grants for strategic planning. VP of Programs (Keavy Cook) newly promoted Dec 2024 with direct email.</t>
  </si>
  <si>
    <t>WWW.HILTONFOUNDATION.ORG</t>
  </si>
  <si>
    <t>WWW.MARIELAMFROM.ORG</t>
  </si>
  <si>
    <t>https://www.linkedin.com/in/kimberly-thornbury-12451b28/</t>
  </si>
  <si>
    <t>WWW.MURDOCKTRUST.ORG</t>
  </si>
  <si>
    <t>134 dependent grantees in Pacific NW, 59 CB grants. VP Programs focuses on board governance, exec leadership, fundraising capacity.</t>
  </si>
  <si>
    <t>WWW.CALWELLNESS.ORG</t>
  </si>
  <si>
    <t>www.irvine.org</t>
  </si>
  <si>
    <t>www.Irvine.org</t>
  </si>
  <si>
    <t>WWW.MMT.ORG</t>
  </si>
  <si>
    <t>erin@roundhousefoundation.org</t>
  </si>
  <si>
    <t>https://roundhousefoundation.org</t>
  </si>
  <si>
    <t>Key staff: Rebeckah Berry (Grants Program Director) rebeckah@roundhousefoundation.org, Chaney Coman (Grants Manager) chaney@roundhousefoundation.org. Focus: rural Oregon and tribal communities. Grants $500-$30K. Small Grants open Jan-Nov. Open Calls: Spring (Jan-Mar) and Fall (Jun-Aug).</t>
  </si>
  <si>
    <t>WWW.WEINGARTFND.ORG</t>
  </si>
  <si>
    <t>Sara Yada</t>
  </si>
  <si>
    <t>information@collinsfoundation.org</t>
  </si>
  <si>
    <t>https://www.collinsfoundation.org</t>
  </si>
  <si>
    <t>Founded 1947. 1618 SW First Ave Suite 505, Portland OR. Focus: arts, education, health equity, environment. Note: Responsive grants paused until late Spring 2025 for program redesign.</t>
  </si>
  <si>
    <t>https://www.linkedin.com/in/chet-hewitt-5a1988277/</t>
  </si>
  <si>
    <t>WWW.SIERRAHEALTH.ORG</t>
  </si>
  <si>
    <t>SVP Programs: Kaying Hang. COO/CFO: Edward Harris. Multiple program officers. 1321 Garden Hwy, Sacramento CA 95833. Founded 1984. Also operates The Center at Sierra Health Foundation (nonprofit intermediary).</t>
  </si>
  <si>
    <t>https://www.samueli.org</t>
  </si>
  <si>
    <t>Founded 1998 by Henry &amp; Susan Samueli (Giving Pledge). Corona Del Mar CA. Breakaway Fund: $50-100K grants. Build OC Fund: up to $1M capital. 2026 funding cycles confirmed. Also: Dr. Shauntina Sorrells (Chief Program Officer background).</t>
  </si>
  <si>
    <t>https://www.linkedin.com/in/cedrickandrews/</t>
  </si>
  <si>
    <t>HTTP://WWW.SUNLIGHTGIVING.ORG/</t>
  </si>
  <si>
    <t>Brian Acton (WhatsApp founder) family foundation. Part of Wildcard Giving. Program Officers: Sepi Aghdaee, Jessica Avendano, Erika Matadamas. Grants Manager: Kelsey Leuchars. Focus: young children and families in poverty in Silicon Valley. No direct contact info on website - use LinkedIn. Address: 855 El Camino Real Bldg 4 Ste 200, Palo Alto CA 94301.</t>
  </si>
  <si>
    <t>www.nmmccune.org</t>
  </si>
  <si>
    <t>WWW.NMMCCUNE.ORG</t>
  </si>
  <si>
    <t>HTTP://WWW.MCCONNELLFOUNDATION.ORG</t>
  </si>
  <si>
    <t>COO: Shannon Phillips (530-226-6231). Dir Children/Youth/Ed: Kelly Salter (530-226-6232). Dir College Success: David Tanner (530-226-6233). Dir Ecosystem Resilience: Alex Carter (530-226-6249). Executive Asst: Marie Welch (530-226-6217). Mancasola has been director since 1991.</t>
  </si>
  <si>
    <t>WWW.PRICEPHILANTHROPIES.ORG</t>
  </si>
  <si>
    <t>https://www.linkedin.com/in/carmen-rojas-phd-she-her-1b521316/</t>
  </si>
  <si>
    <t>WWW.CASEYGRANTS.ORG</t>
  </si>
  <si>
    <t>WWW.SATTERBERG.ORG</t>
  </si>
  <si>
    <t>WY</t>
  </si>
  <si>
    <t>https://www.linkedin.com/in/molly-hughes-6863a73a</t>
  </si>
  <si>
    <t>https://hughescf.org/</t>
  </si>
  <si>
    <t>Also: Hunter Christensen (Senior VP), Brenna Jenkins (EA). Family foundation led by B. Wayne Hughes Jr. and wife Molly. Reestablished in Wyoming in 2020. Based in Jackson Hole.</t>
  </si>
  <si>
    <t>https://cliffamilyfoundation.org</t>
  </si>
  <si>
    <t>Founded 2006 by Kit Crawford &amp; Gary Erickson. Became independent 2022 when Clif Bar sold to Mondelez. Focus: sustainable agriculture, food systems, environment, climate justice. Grants $5K-$50K. Next deadline March 1, 2026. Alt email: familyfoundation@clifbar.com. Address: 1334 B Vidovich Ave, St Helena CA 94574.</t>
  </si>
  <si>
    <t>Claire Callahan</t>
  </si>
  <si>
    <t>Communications Director</t>
  </si>
  <si>
    <t>claire@stupski.org</t>
  </si>
  <si>
    <t>HTTP://WWW.STUPSKI.ORG</t>
  </si>
  <si>
    <t>CEO: Glen Galaich Ph.D. Directors: Jennifer Nguyen (Postsecondary), Dan Tuttle (Health), Aileen Suzara (Food Justice). Focuses on CA and Hawaii. General: info@stupski.org, 415.655.4400. Spend-down foundation closing 2029.</t>
  </si>
  <si>
    <t>WWW.HEADWATERSMT.ORG</t>
  </si>
  <si>
    <t>https://www.linkedin.com/in/jamieallisonhope/</t>
  </si>
  <si>
    <t>https://haassr.org</t>
  </si>
  <si>
    <t>Key staff: Marcel Marania (Grants Manager), Pui Ling Tam (Economic Well-being), Natalia Vigil (Social Well-being). Focus on SF/Alameda County especially Oakland/Berkeley. Grants $25-125K. LOI accepted ongoing, 6-week response. Address: 1 Lombard St Ste 305, SF 94111.</t>
  </si>
  <si>
    <t>https://www.linkedin.com/company/ken-birdwell-foundation</t>
  </si>
  <si>
    <t>WWW.MAGICCABINET.ORG</t>
  </si>
  <si>
    <t>213 CB service grants (highest in dataset). DBA Magic Cabinet - explicitly focuses on capacity building and trust-based philanthropy. Grantees are community nonprofits (First Graduate, Somali Health Board, Southeast Seattle Education Coalition). 31 professional staff.</t>
  </si>
  <si>
    <t>No direct contact - very private. Try: swiftfoundation.org. Moving $67M to grantee-led orgs by sunset. Focus: Indigenous rights, food sovereignty, biocultural diversity (Pacific NW, Amazon, Andes).</t>
  </si>
  <si>
    <t>https://www.bewhatspossible.com</t>
  </si>
  <si>
    <t>Focus: underserved youth job readiness &amp; women in developing world. Field Team Grants: $250 per 25 volunteer hours. Money for Time: $150 per 15 volunteer hours. Donation match up to $15K. Located: 2 Folsom St Fl 15, SF CA 94105.</t>
  </si>
  <si>
    <t>ID</t>
  </si>
  <si>
    <t>President: Shelby Stoolman. Address: 599 S Rivershore Lane, Eagle ID 83616. Est 2019. Also has scholarship program through Scholarship America and Team Member Relief Fund for employees.</t>
  </si>
  <si>
    <t>THE WILLIAM &amp; FLORA HEWLETT FOUNDATION</t>
  </si>
  <si>
    <t>WWW.HEWLETT.ORG</t>
  </si>
  <si>
    <t>https://www.yelpfoundation.org</t>
  </si>
  <si>
    <t>General: info@yelpfoundation.org. No unsolicited applications - uses grant contests. Founded 2011 with 1% of Yelp equity. Typical awards $4-50K. 678 awards in 2023. Offices: SF, NYC, Chicago, Phoenix. $1K employee donation match.</t>
  </si>
  <si>
    <t>www.umpquabank.com/community</t>
  </si>
  <si>
    <t>Subsidiary of Columbia Banking System. Nicole Stein also listed as contact. 1 SW Columbia Street, Suite 1200, Portland, OR 97258. Uses GrantsConnect platform for applications.</t>
  </si>
  <si>
    <t>NV</t>
  </si>
  <si>
    <t>Corporate foundation. Grants $5K-$25K. Moved to open LOI process March 2025. Focuses on Nevada: Las Vegas, Reno-Sparks, Henderson, Elko. General phone: 775-834-3067. PO Box 10100, Reno NV 89520-0024.</t>
  </si>
  <si>
    <t>https://www.linkedin.com/in/patricia-shults-23417719/</t>
  </si>
  <si>
    <t>WWW.NAMESFOUNDATION.ORG</t>
  </si>
  <si>
    <t>Grants Manager: Linsey Sauer. President: Kim Hegardt. VP: Rick Names. 1019 Regents Blvd Ste 201, Fircrest WA 98466. Founded 1996 by Scott and Evelyn Names. Focus: youth sports, recreation, wellness in Puget Sound/Pierce County.</t>
  </si>
  <si>
    <t>https://www.linkedin.com/in/missy-narula/</t>
  </si>
  <si>
    <t>https://crankstart.org</t>
  </si>
  <si>
    <t>Founded by Harriet Heyman and Michael Moritz (Sequoia Capital). 15 employees. c/o Pacific Foundation Services, 1660 Bush St Suite 300, SF CA. Focus: education, housing, democracy, climate. Median grant $250K. Does NOT accept unsolicited requests but has contact form for those who reviewed their programs.</t>
  </si>
  <si>
    <t>No website. Founder former C.H. Robinson VP (25 yrs). Based Henderson NV. Preselected only. Recent: $100K to Lions Club Foundation (2025). Growth: 34→44→58 awards over 3 yrs.</t>
  </si>
  <si>
    <t>AZ</t>
  </si>
  <si>
    <t>https://mihaylofoundation.org</t>
  </si>
  <si>
    <t>Board: Steve Mihaylo (Director/CEO), Doug Gaylor, Jeff Korn, Matthew Mihaylo, Elijah Mihaylo, Ron Vincent, Michael Gray. Contact form at mihaylofoundation.org/contact/. Focus: youth education, after school programs. 94 awards in 2023 ($362K).</t>
  </si>
  <si>
    <t>WWW.SOBRATO.ORG</t>
  </si>
  <si>
    <t>Also key: Camille Llanes-Fontanilla (VP Community Impact), Zelica Rodriguez-Deams (Director Thriving Communities). Does not accept unsolicited grants but welcomes introductions. Focus areas: Silicon Valley community + English Learners statewide. Real estate focus with Social Purpose Real Estate program.</t>
  </si>
  <si>
    <t>HTTP://WWW.EDWARDS.COM/ABOUTUS/CORPORATEGIVING</t>
  </si>
  <si>
    <t>Corporate foundation. Address: One Edwards Way, Irvine, CA 92614. Focus: health-related and community causes in Orange County. Partners with charities to improve quality of life for patients. Website: edwards.com/about-us/global-corporate-giving</t>
  </si>
  <si>
    <t>https://www.linkedin.com/in/david-sanders-70947113/</t>
  </si>
  <si>
    <t>WWW.CASEY.ORG</t>
  </si>
  <si>
    <t>$2.6B; 48% capacity; 411 child welfare grantees across 50 states; foster care focus; RECOMMENDED</t>
  </si>
  <si>
    <t>https://krfoundation.org</t>
  </si>
  <si>
    <t>Key staff: Dana Cilono (Dir Education), Sarah Williams (Arts PO), Nicole Kendrick (Education PO). Focus: Arts, early childhood literacy (Oakland), IBD research. Education grants by invitation. Address: 155 Grand Ave Ste 1000, Oakland 94612.</t>
  </si>
  <si>
    <t>ZFF.ORG</t>
  </si>
  <si>
    <t>Focus: Safety &amp; Belonging, Arts &amp; Culture. Community Arts program accepts applications (quarterly cycles). Address: 455 Market Street, Suite 2200, SF CA 94105.</t>
  </si>
  <si>
    <t>hnberger.org</t>
  </si>
  <si>
    <t>President: Christopher M. McGuire. VP General Counsel: Michael B. Rover. VP Finance: Joseph K. Glassett. Focus: helping people help themselves. Based in Palm Desert CA. Contact via website: hnberger.org/contact-us</t>
  </si>
  <si>
    <t>https://www.andersonchildrensfoundation.org</t>
  </si>
  <si>
    <t>Trustee: Diane Schlesinger (diane@andersonchildrensfoundation.org). Address: 1111 E Tahquitz Canyon Way Suite 109, Palm Springs CA. Applications Feb 1 - Apr 30. Coachella Valley/Riverside County only. Youth under 18.</t>
  </si>
  <si>
    <t>MAPSCU.COM/COMMUNITYFOUNDATION</t>
  </si>
  <si>
    <t>MAPS Credit Union foundation. Address: PO Box 12398, Salem OR 97309. Impact Partnership Grants: $25K-$50K for capital projects. Serves Marion and Polk counties. Also: idamanagers@mapscu.com, 503-588-0181.</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</si>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</sst>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9">
    <font>
      <sz val="11"/>
      <color theme="1"/>
      <name val="Calibri"/>
      <family val="2"/>
      <scheme val="minor"/>
    </font>
    <font>
      <b/>
      <sz val="11"/>
      <color rgb="FFFFFFFF"/>
      <name val="Calibri"/>
    </font>
    <font>
      <sz val="11"/>
      <color rgb="FF000000"/>
      <name val="Calibri"/>
      <family val="2"/>
      <scheme val="minor"/>
    </font>
    <font>
      <sz val="11"/>
      <color rgb="FF000000"/>
      <name val="Calibri"/>
    </font>
    <font>
      <u/>
      <sz val="11"/>
      <color theme="10"/>
      <name val="Calibri"/>
      <family val="2"/>
      <scheme val="minor"/>
    </font>
    <font>
      <sz val="11"/>
      <color rgb="FF000000"/>
      <name val="Calibri"/>
      <family val="2"/>
      <charset val="1"/>
    </font>
    <font>
      <b/>
      <sz val="8"/>
      <color rgb="FF000000"/>
      <name val="Menlo"/>
      <charset val="1"/>
    </font>
    <font>
      <b/>
      <sz val="11"/>
      <color rgb="FF000000"/>
      <name val="Calibri"/>
    </font>
    <font>
      <u/>
      <sz val="11"/>
      <color rgb="FF000000"/>
      <name val="Calibri"/>
      <family val="2"/>
      <scheme val="minor"/>
    </font>
    <font>
      <sz val="12"/>
      <color rgb="FF000000"/>
      <name val="Aptos Narrow"/>
      <family val="2"/>
      <charset val="1"/>
    </font>
    <font>
      <b/>
      <sz val="11"/>
      <color rgb="FFFFFFFF"/>
      <name val="Calibri"/>
      <family val="2"/>
      <charset val="1"/>
    </font>
    <font>
      <b/>
      <sz val="11"/>
      <name val="Calibri"/>
      <family val="2"/>
      <charset val="1"/>
    </font>
    <font>
      <b/>
      <sz val="10"/>
      <color rgb="FFFFFFFF"/>
      <name val="Calibri"/>
      <family val="2"/>
      <charset val="1"/>
    </font>
    <font>
      <sz val="10"/>
      <name val="Calibri"/>
      <family val="2"/>
      <charset val="1"/>
    </font>
    <font>
      <b/>
      <sz val="10"/>
      <color rgb="FF006100"/>
      <name val="Calibri"/>
      <family val="2"/>
      <charset val="1"/>
    </font>
    <font>
      <b/>
      <sz val="10"/>
      <color rgb="FF9C5700"/>
      <name val="Calibri"/>
      <family val="2"/>
      <charset val="1"/>
    </font>
    <font>
      <b/>
      <sz val="11"/>
      <color theme="1"/>
      <name val="Calibri"/>
      <family val="2"/>
      <scheme val="minor"/>
    </font>
    <font>
      <b/>
      <sz val="11"/>
      <color rgb="FF000000"/>
      <name val="Calibri"/>
      <family val="2"/>
      <scheme val="minor"/>
    </font>
    <font>
      <sz val="11"/>
      <color rgb="FFFFFFFF"/>
      <name val="Calibri"/>
    </font>
  </fonts>
  <fills count="8">
    <fill>
      <patternFill patternType="none"/>
    </fill>
    <fill>
      <patternFill patternType="gray125"/>
    </fill>
    <fill>
      <patternFill patternType="solid">
        <fgColor rgb="FF1F4E79"/>
        <bgColor rgb="FF1F4E79"/>
      </patternFill>
    </fill>
    <fill>
      <patternFill patternType="solid">
        <fgColor rgb="FF4472C4"/>
        <bgColor indexed="64"/>
      </patternFill>
    </fill>
    <fill>
      <patternFill patternType="solid">
        <fgColor rgb="FFC6EFCE"/>
        <bgColor indexed="64"/>
      </patternFill>
    </fill>
    <fill>
      <patternFill patternType="solid">
        <fgColor rgb="FFFFEB9C"/>
        <bgColor indexed="64"/>
      </patternFill>
    </fill>
    <fill>
      <patternFill patternType="solid">
        <fgColor rgb="FF2F5496"/>
        <bgColor indexed="64"/>
      </patternFill>
    </fill>
    <fill>
      <patternFill patternType="solid">
        <fgColor rgb="FFDCE6F1"/>
        <bgColor indexed="64"/>
      </patternFill>
    </fill>
  </fills>
  <borders count="19">
    <border>
      <left/>
      <right/>
      <top/>
      <bottom/>
      <diagonal/>
    </border>
    <border>
      <left style="medium">
        <color rgb="FF000000"/>
      </left>
      <right/>
      <top/>
      <bottom/>
      <diagonal/>
    </border>
    <border>
      <left/>
      <right style="medium">
        <color rgb="FF000000"/>
      </right>
      <top/>
      <bottom/>
      <diagonal/>
    </border>
    <border>
      <left style="thin">
        <color indexed="64"/>
      </left>
      <right style="thin">
        <color indexed="64"/>
      </right>
      <top style="thin">
        <color indexed="64"/>
      </top>
      <bottom style="thin">
        <color indexed="64"/>
      </bottom>
      <diagonal/>
    </border>
    <border>
      <left/>
      <right style="thin">
        <color rgb="FFFFFFFF"/>
      </right>
      <top style="thin">
        <color rgb="FFFFFFFF"/>
      </top>
      <bottom style="thin">
        <color rgb="FFFFFFFF"/>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auto="1"/>
      </right>
      <top/>
      <bottom style="thin">
        <color auto="1"/>
      </bottom>
      <diagonal/>
    </border>
    <border>
      <left/>
      <right style="thin">
        <color rgb="FFD9D9D9"/>
      </right>
      <top/>
      <bottom style="dotted">
        <color rgb="FF000000"/>
      </bottom>
      <diagonal/>
    </border>
    <border>
      <left style="thin">
        <color rgb="FFD9D9D9"/>
      </left>
      <right style="thin">
        <color rgb="FFD9D9D9"/>
      </right>
      <top/>
      <bottom style="dotted">
        <color rgb="FF000000"/>
      </bottom>
      <diagonal/>
    </border>
    <border>
      <left style="thin">
        <color rgb="FFD9D9D9"/>
      </left>
      <right/>
      <top/>
      <bottom style="dotted">
        <color rgb="FF000000"/>
      </bottom>
      <diagonal/>
    </border>
    <border>
      <left/>
      <right/>
      <top style="dotted">
        <color rgb="FF000000"/>
      </top>
      <bottom style="dotted">
        <color rgb="FF000000"/>
      </bottom>
      <diagonal/>
    </border>
    <border>
      <left/>
      <right/>
      <top style="dotted">
        <color rgb="FF000000"/>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style="thin">
        <color rgb="FF006100"/>
      </left>
      <right/>
      <top style="thin">
        <color rgb="FF006100"/>
      </top>
      <bottom style="thin">
        <color rgb="FF006100"/>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9C5700"/>
      </left>
      <right/>
      <top style="thin">
        <color rgb="FF9C5700"/>
      </top>
      <bottom style="thin">
        <color rgb="FF9C5700"/>
      </bottom>
      <diagonal/>
    </border>
  </borders>
  <cellStyleXfs count="2">
    <xf numFmtId="0" fontId="0" fillId="0" borderId="0"/>
    <xf numFmtId="0" fontId="4" fillId="0" borderId="0" applyNumberFormat="0" applyFill="0" applyBorder="0" applyAlignment="0" applyProtection="0"/>
  </cellStyleXfs>
  <cellXfs count="82">
    <xf numFmtId="0" fontId="0" fillId="0" borderId="0" xfId="0"/>
    <xf numFmtId="14" fontId="0" fillId="0" borderId="0" xfId="0" applyNumberFormat="1"/>
    <xf numFmtId="0" fontId="0" fillId="0" borderId="1" xfId="0" applyBorder="1"/>
    <xf numFmtId="0" fontId="0" fillId="0" borderId="2" xfId="0" applyBorder="1"/>
    <xf numFmtId="0" fontId="1" fillId="0" borderId="2" xfId="0" applyFont="1" applyBorder="1"/>
    <xf numFmtId="0" fontId="2" fillId="0" borderId="1" xfId="0" applyFont="1" applyBorder="1"/>
    <xf numFmtId="0" fontId="2" fillId="0" borderId="2" xfId="0" applyFont="1" applyBorder="1"/>
    <xf numFmtId="0" fontId="3" fillId="0" borderId="2" xfId="0" applyFont="1" applyBorder="1"/>
    <xf numFmtId="0" fontId="3" fillId="0" borderId="1" xfId="0" applyFont="1" applyBorder="1"/>
    <xf numFmtId="0" fontId="5" fillId="0" borderId="0" xfId="0" applyFont="1"/>
    <xf numFmtId="0" fontId="3" fillId="0" borderId="0" xfId="0" applyFont="1"/>
    <xf numFmtId="0" fontId="1" fillId="0" borderId="0" xfId="0" applyFont="1"/>
    <xf numFmtId="0" fontId="2" fillId="0" borderId="0" xfId="0" applyFont="1"/>
    <xf numFmtId="14" fontId="2" fillId="0" borderId="0" xfId="0" applyNumberFormat="1" applyFont="1"/>
    <xf numFmtId="14" fontId="3" fillId="0" borderId="0" xfId="0" applyNumberFormat="1" applyFont="1"/>
    <xf numFmtId="0" fontId="9" fillId="0" borderId="0" xfId="0" applyFont="1"/>
    <xf numFmtId="0" fontId="4" fillId="0" borderId="0" xfId="1" applyFill="1" applyBorder="1" applyAlignment="1"/>
    <xf numFmtId="0" fontId="9" fillId="0" borderId="1" xfId="0" applyFont="1" applyBorder="1"/>
    <xf numFmtId="0" fontId="4" fillId="0" borderId="0" xfId="1"/>
    <xf numFmtId="0" fontId="10" fillId="3" borderId="3" xfId="0" applyFont="1" applyFill="1" applyBorder="1"/>
    <xf numFmtId="0" fontId="10" fillId="3" borderId="4" xfId="0" applyFont="1" applyFill="1" applyBorder="1"/>
    <xf numFmtId="0" fontId="5" fillId="0" borderId="5" xfId="0" applyFont="1" applyBorder="1"/>
    <xf numFmtId="0" fontId="5" fillId="0" borderId="6" xfId="0" applyFont="1" applyBorder="1"/>
    <xf numFmtId="0" fontId="5" fillId="4" borderId="6" xfId="0" applyFont="1" applyFill="1" applyBorder="1"/>
    <xf numFmtId="6" fontId="5" fillId="0" borderId="6" xfId="0" applyNumberFormat="1" applyFont="1" applyBorder="1"/>
    <xf numFmtId="9" fontId="5" fillId="0" borderId="6" xfId="0" applyNumberFormat="1" applyFont="1" applyBorder="1"/>
    <xf numFmtId="0" fontId="5" fillId="5" borderId="6" xfId="0" applyFont="1" applyFill="1" applyBorder="1"/>
    <xf numFmtId="0" fontId="11" fillId="4" borderId="7" xfId="0" applyFont="1" applyFill="1" applyBorder="1"/>
    <xf numFmtId="0" fontId="10" fillId="3" borderId="3" xfId="0" applyFont="1" applyFill="1" applyBorder="1" applyAlignment="1">
      <alignment wrapText="1"/>
    </xf>
    <xf numFmtId="0" fontId="10" fillId="3" borderId="4" xfId="0" applyFont="1" applyFill="1" applyBorder="1" applyAlignment="1">
      <alignment wrapText="1"/>
    </xf>
    <xf numFmtId="0" fontId="4" fillId="0" borderId="6" xfId="1" applyBorder="1" applyAlignment="1"/>
    <xf numFmtId="0" fontId="1" fillId="2" borderId="8" xfId="0" applyFont="1" applyFill="1" applyBorder="1" applyAlignment="1">
      <alignment horizontal="center"/>
    </xf>
    <xf numFmtId="14" fontId="1" fillId="2" borderId="9" xfId="0" applyNumberFormat="1" applyFont="1" applyFill="1" applyBorder="1" applyAlignment="1">
      <alignment horizontal="center"/>
    </xf>
    <xf numFmtId="0" fontId="1" fillId="2" borderId="9" xfId="0" applyFont="1" applyFill="1" applyBorder="1" applyAlignment="1">
      <alignment horizontal="center"/>
    </xf>
    <xf numFmtId="14" fontId="0" fillId="0" borderId="11" xfId="0" applyNumberFormat="1" applyBorder="1"/>
    <xf numFmtId="0" fontId="0" fillId="0" borderId="11" xfId="0" applyBorder="1"/>
    <xf numFmtId="14" fontId="3" fillId="0" borderId="11" xfId="0" applyNumberFormat="1" applyFont="1" applyBorder="1"/>
    <xf numFmtId="0" fontId="3" fillId="0" borderId="11" xfId="0" applyFont="1" applyBorder="1"/>
    <xf numFmtId="14" fontId="2" fillId="0" borderId="11" xfId="0" applyNumberFormat="1" applyFont="1" applyBorder="1"/>
    <xf numFmtId="0" fontId="2" fillId="0" borderId="11" xfId="0" applyFont="1" applyBorder="1"/>
    <xf numFmtId="0" fontId="4" fillId="0" borderId="11" xfId="1" applyFill="1" applyBorder="1" applyAlignment="1"/>
    <xf numFmtId="0" fontId="9" fillId="0" borderId="11" xfId="0" applyFont="1" applyBorder="1"/>
    <xf numFmtId="0" fontId="5" fillId="0" borderId="11" xfId="0" applyFont="1" applyBorder="1"/>
    <xf numFmtId="0" fontId="1" fillId="0" borderId="11" xfId="0" applyFont="1" applyBorder="1"/>
    <xf numFmtId="0" fontId="6" fillId="0" borderId="11" xfId="0" applyFont="1" applyBorder="1"/>
    <xf numFmtId="0" fontId="8" fillId="0" borderId="11" xfId="1" applyFont="1" applyBorder="1"/>
    <xf numFmtId="0" fontId="4" fillId="0" borderId="11" xfId="1" applyBorder="1"/>
    <xf numFmtId="0" fontId="7" fillId="0" borderId="11" xfId="0" applyFont="1" applyBorder="1"/>
    <xf numFmtId="0" fontId="2" fillId="0" borderId="11" xfId="0" applyFont="1" applyBorder="1" applyAlignment="1">
      <alignment wrapText="1"/>
    </xf>
    <xf numFmtId="0" fontId="3" fillId="0" borderId="11" xfId="0" applyFont="1" applyBorder="1" applyAlignment="1">
      <alignment wrapText="1"/>
    </xf>
    <xf numFmtId="0" fontId="0" fillId="0" borderId="12" xfId="0" applyBorder="1"/>
    <xf numFmtId="0" fontId="5" fillId="5" borderId="11" xfId="0" applyFont="1" applyFill="1" applyBorder="1"/>
    <xf numFmtId="0" fontId="0" fillId="0" borderId="3" xfId="0" applyBorder="1"/>
    <xf numFmtId="0" fontId="3" fillId="0" borderId="3" xfId="0" applyFont="1" applyBorder="1"/>
    <xf numFmtId="0" fontId="12" fillId="6" borderId="13" xfId="0" applyFont="1" applyFill="1" applyBorder="1"/>
    <xf numFmtId="0" fontId="12" fillId="6" borderId="14" xfId="0" applyFont="1" applyFill="1" applyBorder="1"/>
    <xf numFmtId="0" fontId="12" fillId="6" borderId="4" xfId="0" applyFont="1" applyFill="1" applyBorder="1"/>
    <xf numFmtId="0" fontId="14" fillId="4" borderId="15" xfId="0" applyFont="1" applyFill="1" applyBorder="1"/>
    <xf numFmtId="0" fontId="13" fillId="7" borderId="16" xfId="0" applyFont="1" applyFill="1" applyBorder="1"/>
    <xf numFmtId="6" fontId="13" fillId="7" borderId="16" xfId="0" applyNumberFormat="1" applyFont="1" applyFill="1" applyBorder="1"/>
    <xf numFmtId="0" fontId="13" fillId="7" borderId="17" xfId="0" applyFont="1" applyFill="1" applyBorder="1"/>
    <xf numFmtId="0" fontId="13" fillId="0" borderId="16" xfId="0" applyFont="1" applyBorder="1"/>
    <xf numFmtId="6" fontId="13" fillId="0" borderId="16" xfId="0" applyNumberFormat="1" applyFont="1" applyBorder="1"/>
    <xf numFmtId="0" fontId="13" fillId="0" borderId="17" xfId="0" applyFont="1" applyBorder="1"/>
    <xf numFmtId="0" fontId="15" fillId="5" borderId="18" xfId="0" applyFont="1" applyFill="1" applyBorder="1"/>
    <xf numFmtId="14" fontId="3" fillId="0" borderId="12" xfId="0" applyNumberFormat="1" applyFont="1" applyBorder="1"/>
    <xf numFmtId="0" fontId="0" fillId="0" borderId="11" xfId="0" applyBorder="1" applyAlignment="1">
      <alignment wrapText="1"/>
    </xf>
    <xf numFmtId="0" fontId="1" fillId="2" borderId="10" xfId="0" applyFont="1" applyFill="1" applyBorder="1" applyAlignment="1">
      <alignment horizontal="center" wrapText="1"/>
    </xf>
    <xf numFmtId="0" fontId="7" fillId="0" borderId="11" xfId="0" applyFont="1" applyBorder="1" applyAlignment="1">
      <alignment wrapText="1"/>
    </xf>
    <xf numFmtId="0" fontId="0" fillId="0" borderId="0" xfId="0" applyAlignment="1">
      <alignment wrapText="1"/>
    </xf>
    <xf numFmtId="0" fontId="4" fillId="0" borderId="11" xfId="1" applyBorder="1" applyAlignment="1">
      <alignment wrapText="1"/>
    </xf>
    <xf numFmtId="0" fontId="3" fillId="0" borderId="12" xfId="0" applyFont="1" applyBorder="1"/>
    <xf numFmtId="0" fontId="5" fillId="0" borderId="12" xfId="0" applyFont="1" applyBorder="1"/>
    <xf numFmtId="0" fontId="1" fillId="0" borderId="12" xfId="0" applyFont="1" applyBorder="1"/>
    <xf numFmtId="0" fontId="3" fillId="0" borderId="12" xfId="0" applyFont="1" applyBorder="1" applyAlignment="1">
      <alignment wrapText="1"/>
    </xf>
    <xf numFmtId="0" fontId="5" fillId="5" borderId="3" xfId="0" applyFont="1" applyFill="1" applyBorder="1"/>
    <xf numFmtId="0" fontId="16" fillId="0" borderId="11" xfId="0" applyFont="1" applyBorder="1"/>
    <xf numFmtId="14" fontId="7" fillId="0" borderId="11" xfId="0" applyNumberFormat="1" applyFont="1" applyBorder="1"/>
    <xf numFmtId="0" fontId="17" fillId="0" borderId="11" xfId="0" applyFont="1" applyBorder="1"/>
    <xf numFmtId="0" fontId="16" fillId="0" borderId="0" xfId="0" applyFont="1"/>
    <xf numFmtId="0" fontId="18" fillId="0" borderId="11" xfId="0" applyFont="1" applyBorder="1"/>
    <xf numFmtId="0" fontId="13" fillId="0" borderId="16" xfId="0" applyFont="1" applyBorder="1" applyAlignment="1"/>
  </cellXfs>
  <cellStyles count="2">
    <cellStyle name="Hyperlink" xfId="1" builtinId="8"/>
    <cellStyle name="Normal" xfId="0" builtinId="0"/>
  </cellStyles>
  <dxfs count="34">
    <dxf>
      <font>
        <color theme="1"/>
      </font>
      <fill>
        <patternFill patternType="solid">
          <bgColor theme="2" tint="-9.9978637043366805E-2"/>
        </patternFill>
      </fill>
    </dxf>
    <dxf>
      <font>
        <color theme="1"/>
      </font>
      <fill>
        <patternFill patternType="solid">
          <bgColor theme="4" tint="0.79998168889431442"/>
        </patternFill>
      </fill>
    </dxf>
    <dxf>
      <font>
        <color theme="1"/>
      </font>
      <fill>
        <patternFill patternType="solid">
          <bgColor theme="7" tint="0.79998168889431442"/>
        </patternFill>
      </fill>
    </dxf>
    <dxf>
      <font>
        <color theme="1"/>
      </font>
      <fill>
        <patternFill patternType="solid">
          <bgColor theme="9" tint="0.79998168889431442"/>
        </patternFill>
      </fill>
    </dxf>
    <dxf>
      <font>
        <color theme="1"/>
      </font>
      <fill>
        <patternFill patternType="solid">
          <bgColor rgb="FFFCD9D9"/>
        </patternFill>
      </fill>
    </dxf>
    <dxf>
      <fill>
        <patternFill patternType="none">
          <fgColor rgb="FFFCE4D6"/>
          <bgColor rgb="FFFCE4D6"/>
        </patternFill>
      </fill>
      <alignment horizontal="general" vertical="bottom" textRotation="0" wrapText="1" indent="0" justifyLastLine="0" shrinkToFit="0" readingOrder="0"/>
      <border>
        <top style="dotted">
          <color rgb="FF000000"/>
        </top>
        <bottom style="dotted">
          <color rgb="FF000000"/>
        </bottom>
        <horizontal style="dotted">
          <color rgb="FF000000"/>
        </horizontal>
      </border>
    </dxf>
    <dxf>
      <fill>
        <patternFill patternType="none">
          <fgColor rgb="FFFCE4D6"/>
          <bgColor rgb="FFFCE4D6"/>
        </patternFill>
      </fill>
      <alignment horizontal="general" vertical="bottom" textRotation="0" wrapText="0" indent="0" justifyLastLine="0" shrinkToFit="0" readingOrder="0"/>
      <border>
        <top style="dotted">
          <color rgb="FF000000"/>
        </top>
        <bottom style="dotted">
          <color rgb="FF000000"/>
        </bottom>
        <horizontal style="dotted">
          <color rgb="FF000000"/>
        </horizontal>
      </border>
    </dxf>
    <dxf>
      <fill>
        <patternFill patternType="none">
          <fgColor rgb="FFFCE4D6"/>
          <bgColor rgb="FFFCE4D6"/>
        </patternFill>
      </fill>
      <alignment horizontal="general" vertical="bottom" textRotation="0" wrapText="0" indent="0" justifyLastLine="0" shrinkToFit="0" readingOrder="0"/>
      <border>
        <top style="dotted">
          <color rgb="FF000000"/>
        </top>
        <bottom style="dotted">
          <color rgb="FF000000"/>
        </bottom>
        <horizontal style="dotted">
          <color rgb="FF000000"/>
        </horizontal>
      </border>
    </dxf>
    <dxf>
      <font>
        <b/>
        <i val="0"/>
        <strike val="0"/>
        <condense val="0"/>
        <extend val="0"/>
        <outline val="0"/>
        <shadow val="0"/>
        <u val="none"/>
        <vertAlign val="baseline"/>
        <sz val="11"/>
        <color rgb="FFFFFFFF"/>
        <name val="Calibri"/>
        <scheme val="none"/>
      </font>
      <fill>
        <patternFill patternType="none">
          <fgColor indexed="64"/>
          <bgColor indexed="65"/>
        </patternFill>
      </fill>
      <alignment horizontal="general" vertical="bottom" textRotation="0" wrapText="0" indent="0" justifyLastLine="0" shrinkToFit="0" readingOrder="0"/>
      <border>
        <top style="dotted">
          <color rgb="FF000000"/>
        </top>
        <bottom style="dotted">
          <color rgb="FF000000"/>
        </bottom>
        <horizontal style="dotted">
          <color rgb="FF000000"/>
        </horizontal>
      </border>
    </dxf>
    <dxf>
      <font>
        <b val="0"/>
        <i val="0"/>
        <strike val="0"/>
        <condense val="0"/>
        <extend val="0"/>
        <outline val="0"/>
        <shadow val="0"/>
        <u val="none"/>
        <vertAlign val="baseline"/>
        <sz val="11"/>
        <color rgb="FF000000"/>
        <name val="Calibri"/>
        <scheme val="none"/>
      </font>
      <numFmt numFmtId="0" formatCode="General"/>
      <border diagonalUp="0" diagonalDown="0">
        <left/>
        <right/>
        <top style="dotted">
          <color rgb="FF000000"/>
        </top>
        <bottom style="dotted">
          <color rgb="FF000000"/>
        </bottom>
        <vertical/>
        <horizontal/>
      </border>
    </dxf>
    <dxf>
      <fill>
        <patternFill patternType="none">
          <fgColor rgb="FFFCE4D6"/>
          <bgColor rgb="FFFCE4D6"/>
        </patternFill>
      </fill>
      <alignment horizontal="general" vertical="bottom" textRotation="0" wrapText="0" indent="0" justifyLastLine="0" shrinkToFit="0" readingOrder="0"/>
      <border>
        <top style="dotted">
          <color rgb="FF000000"/>
        </top>
        <bottom style="dotted">
          <color rgb="FF000000"/>
        </bottom>
        <horizontal style="dotted">
          <color rgb="FF000000"/>
        </horizontal>
      </border>
    </dxf>
    <dxf>
      <font>
        <b val="0"/>
        <i val="0"/>
        <strike val="0"/>
        <condense val="0"/>
        <extend val="0"/>
        <outline val="0"/>
        <shadow val="0"/>
        <u val="none"/>
        <vertAlign val="baseline"/>
        <sz val="11"/>
        <color rgb="FF000000"/>
        <name val="Calibri"/>
        <family val="2"/>
        <charset val="1"/>
        <scheme val="none"/>
      </font>
      <alignment horizontal="general" vertical="bottom" textRotation="0" wrapText="0" indent="0" justifyLastLine="0" shrinkToFit="0" readingOrder="0"/>
      <border>
        <top style="dotted">
          <color rgb="FF000000"/>
        </top>
        <bottom style="dotted">
          <color rgb="FF000000"/>
        </bottom>
        <horizontal style="dotted">
          <color rgb="FF000000"/>
        </horizontal>
      </border>
    </dxf>
    <dxf>
      <font>
        <b val="0"/>
        <i val="0"/>
        <strike val="0"/>
        <condense val="0"/>
        <extend val="0"/>
        <outline val="0"/>
        <shadow val="0"/>
        <u val="none"/>
        <vertAlign val="baseline"/>
        <sz val="11"/>
        <color rgb="FF000000"/>
        <name val="Calibri"/>
        <scheme val="none"/>
      </font>
      <border>
        <top style="dotted">
          <color rgb="FF000000"/>
        </top>
        <bottom style="dotted">
          <color rgb="FF000000"/>
        </bottom>
        <horizontal style="dotted">
          <color rgb="FF000000"/>
        </horizontal>
      </border>
    </dxf>
    <dxf>
      <font>
        <b val="0"/>
        <i val="0"/>
        <strike val="0"/>
        <condense val="0"/>
        <extend val="0"/>
        <outline val="0"/>
        <shadow val="0"/>
        <u val="none"/>
        <vertAlign val="baseline"/>
        <sz val="11"/>
        <color rgb="FF000000"/>
        <name val="Calibri"/>
        <scheme val="none"/>
      </font>
      <border>
        <top style="dotted">
          <color rgb="FF000000"/>
        </top>
        <bottom style="dotted">
          <color rgb="FF000000"/>
        </bottom>
        <horizontal style="dotted">
          <color rgb="FF000000"/>
        </horizontal>
      </border>
    </dxf>
    <dxf>
      <font>
        <b val="0"/>
        <i val="0"/>
        <strike val="0"/>
        <condense val="0"/>
        <extend val="0"/>
        <outline val="0"/>
        <shadow val="0"/>
        <u val="none"/>
        <vertAlign val="baseline"/>
        <sz val="11"/>
        <color rgb="FF000000"/>
        <name val="Calibri"/>
        <scheme val="none"/>
      </font>
      <numFmt numFmtId="0" formatCode="General"/>
      <border diagonalUp="0" diagonalDown="0">
        <left/>
        <right/>
        <top style="dotted">
          <color rgb="FF000000"/>
        </top>
        <bottom style="dotted">
          <color rgb="FF000000"/>
        </bottom>
        <vertical/>
        <horizontal/>
      </border>
    </dxf>
    <dxf>
      <numFmt numFmtId="0" formatCode="General"/>
    </dxf>
    <dxf>
      <fill>
        <patternFill patternType="none">
          <fgColor rgb="FFFCE4D6"/>
          <bgColor rgb="FFFCE4D6"/>
        </patternFill>
      </fill>
      <alignment horizontal="general" vertical="bottom" textRotation="0" wrapText="0" indent="0" justifyLastLine="0" shrinkToFit="0" readingOrder="0"/>
      <border>
        <top style="dotted">
          <color rgb="FF000000"/>
        </top>
        <bottom style="dotted">
          <color rgb="FF000000"/>
        </bottom>
        <horizontal style="dotted">
          <color rgb="FF000000"/>
        </horizontal>
      </border>
    </dxf>
    <dxf>
      <font>
        <b val="0"/>
        <i val="0"/>
        <strike val="0"/>
        <condense val="0"/>
        <extend val="0"/>
        <outline val="0"/>
        <shadow val="0"/>
        <u val="none"/>
        <vertAlign val="baseline"/>
        <sz val="11"/>
        <color rgb="FF000000"/>
        <name val="Calibri"/>
        <scheme val="none"/>
      </font>
      <border>
        <top style="dotted">
          <color rgb="FF000000"/>
        </top>
        <bottom style="dotted">
          <color rgb="FF000000"/>
        </bottom>
        <horizontal style="dotted">
          <color rgb="FF000000"/>
        </horizontal>
      </border>
    </dxf>
    <dxf>
      <fill>
        <patternFill patternType="none">
          <fgColor rgb="FFFCE4D6"/>
          <bgColor rgb="FFFCE4D6"/>
        </patternFill>
      </fill>
      <alignment horizontal="general" vertical="bottom" textRotation="0" wrapText="0" indent="0" justifyLastLine="0" shrinkToFit="0" readingOrder="0"/>
      <border>
        <top style="dotted">
          <color rgb="FF000000"/>
        </top>
        <bottom style="dotted">
          <color rgb="FF000000"/>
        </bottom>
        <horizontal style="dotted">
          <color rgb="FF000000"/>
        </horizontal>
      </border>
    </dxf>
    <dxf>
      <fill>
        <patternFill patternType="none">
          <fgColor rgb="FFFCE4D6"/>
          <bgColor rgb="FFFCE4D6"/>
        </patternFill>
      </fill>
      <alignment horizontal="general" vertical="bottom" textRotation="0" wrapText="0" indent="0" justifyLastLine="0" shrinkToFit="0" readingOrder="0"/>
      <border>
        <top style="dotted">
          <color rgb="FF000000"/>
        </top>
        <bottom style="dotted">
          <color rgb="FF000000"/>
        </bottom>
        <horizontal style="dotted">
          <color rgb="FF000000"/>
        </horizontal>
      </border>
    </dxf>
    <dxf>
      <fill>
        <patternFill patternType="none">
          <fgColor rgb="FFFCE4D6"/>
          <bgColor rgb="FFFCE4D6"/>
        </patternFill>
      </fill>
      <alignment horizontal="general" vertical="bottom" textRotation="0" wrapText="0" indent="0" justifyLastLine="0" shrinkToFit="0" readingOrder="0"/>
      <border>
        <top style="dotted">
          <color rgb="FF000000"/>
        </top>
        <bottom style="dotted">
          <color rgb="FF000000"/>
        </bottom>
        <horizontal style="dotted">
          <color rgb="FF000000"/>
        </horizontal>
      </border>
    </dxf>
    <dxf>
      <numFmt numFmtId="19" formatCode="m/d/yyyy"/>
      <fill>
        <patternFill patternType="none">
          <fgColor rgb="FFFCE4D6"/>
          <bgColor rgb="FFFCE4D6"/>
        </patternFill>
      </fill>
      <alignment horizontal="general" vertical="bottom" textRotation="0" wrapText="0" indent="0" justifyLastLine="0" shrinkToFit="0" readingOrder="0"/>
      <border>
        <top style="dotted">
          <color rgb="FF000000"/>
        </top>
        <bottom style="dotted">
          <color rgb="FF000000"/>
        </bottom>
        <horizontal style="dotted">
          <color rgb="FF000000"/>
        </horizontal>
      </border>
    </dxf>
    <dxf>
      <font>
        <b val="0"/>
        <i val="0"/>
        <strike val="0"/>
        <condense val="0"/>
        <extend val="0"/>
        <outline val="0"/>
        <shadow val="0"/>
        <u val="none"/>
        <vertAlign val="baseline"/>
        <sz val="11"/>
        <color rgb="FF000000"/>
        <name val="Calibri"/>
        <scheme val="none"/>
      </font>
      <numFmt numFmtId="0" formatCode="General"/>
      <border diagonalUp="0" diagonalDown="0">
        <left/>
        <right/>
        <top style="dotted">
          <color rgb="FF000000"/>
        </top>
        <bottom style="dotted">
          <color rgb="FF000000"/>
        </bottom>
        <vertical/>
        <horizontal/>
      </border>
    </dxf>
    <dxf>
      <fill>
        <patternFill patternType="none">
          <fgColor rgb="FFFCE4D6"/>
          <bgColor rgb="FFFCE4D6"/>
        </patternFill>
      </fill>
      <alignment horizontal="general" vertical="bottom" textRotation="0" wrapText="0" indent="0" justifyLastLine="0" shrinkToFit="0" readingOrder="0"/>
      <border>
        <top style="dotted">
          <color rgb="FF000000"/>
        </top>
        <bottom style="dotted">
          <color rgb="FF000000"/>
        </bottom>
        <horizontal style="dotted">
          <color rgb="FF000000"/>
        </horizontal>
      </border>
    </dxf>
    <dxf>
      <border>
        <top style="dotted">
          <color rgb="FF000000"/>
        </top>
      </border>
    </dxf>
    <dxf>
      <border>
        <bottom style="dotted">
          <color rgb="FF000000"/>
        </bottom>
      </border>
    </dxf>
    <dxf>
      <border>
        <left style="medium">
          <color rgb="FF000000"/>
        </left>
        <right style="medium">
          <color rgb="FF000000"/>
        </right>
        <top style="medium">
          <color rgb="FF000000"/>
        </top>
        <bottom style="medium">
          <color rgb="FF000000"/>
        </bottom>
      </border>
    </dxf>
    <dxf>
      <fill>
        <patternFill patternType="none"/>
      </fill>
      <alignment wrapText="0"/>
    </dxf>
    <dxf>
      <font>
        <b/>
        <i val="0"/>
        <strike val="0"/>
        <condense val="0"/>
        <extend val="0"/>
        <outline val="0"/>
        <shadow val="0"/>
        <u val="none"/>
        <vertAlign val="baseline"/>
        <sz val="11"/>
        <color rgb="FFFFFFFF"/>
        <name val="Calibri"/>
        <scheme val="none"/>
      </font>
      <fill>
        <patternFill patternType="solid">
          <fgColor rgb="FF1F4E79"/>
          <bgColor rgb="FF1F4E79"/>
        </patternFill>
      </fill>
      <alignment horizontal="center" vertical="bottom" textRotation="0" wrapText="0" indent="0" justifyLastLine="0" shrinkToFit="0" readingOrder="0"/>
      <border diagonalUp="0" diagonalDown="0">
        <left style="thin">
          <color rgb="FFD9D9D9"/>
        </left>
        <right style="thin">
          <color rgb="FFD9D9D9"/>
        </right>
        <top/>
        <bottom/>
      </border>
    </dxf>
    <dxf>
      <font>
        <color theme="1"/>
      </font>
      <fill>
        <patternFill patternType="solid">
          <bgColor theme="2" tint="-9.9978637043366805E-2"/>
        </patternFill>
      </fill>
    </dxf>
    <dxf>
      <font>
        <color theme="1"/>
      </font>
      <fill>
        <patternFill patternType="solid">
          <bgColor theme="4" tint="0.79998168889431442"/>
        </patternFill>
      </fill>
    </dxf>
    <dxf>
      <font>
        <color theme="1"/>
      </font>
      <fill>
        <patternFill patternType="solid">
          <bgColor theme="7" tint="0.79998168889431442"/>
        </patternFill>
      </fill>
    </dxf>
    <dxf>
      <font>
        <color theme="1"/>
      </font>
      <fill>
        <patternFill patternType="solid">
          <bgColor theme="9" tint="0.79998168889431442"/>
        </patternFill>
      </fill>
    </dxf>
    <dxf>
      <font>
        <color theme="1"/>
      </font>
      <fill>
        <patternFill patternType="solid">
          <bgColor rgb="FFFCD9D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55DAF4-4CEF-4274-B26C-582BBF969561}" name="Table1" displayName="Table1" ref="B2:T168" totalsRowShown="0" headerRowDxfId="28" dataDxfId="27" headerRowBorderDxfId="25" tableBorderDxfId="26" totalsRowBorderDxfId="24">
  <autoFilter ref="B2:T168" xr:uid="{F555DAF4-4CEF-4274-B26C-582BBF969561}"/>
  <sortState xmlns:xlrd2="http://schemas.microsoft.com/office/spreadsheetml/2017/richdata2" ref="B3:T168">
    <sortCondition descending="1" ref="S2:S168"/>
  </sortState>
  <tableColumns count="19">
    <tableColumn id="1" xr3:uid="{48C849DE-C6A0-4FAD-9A80-46B28F8213F5}" name="Org" dataDxfId="23"/>
    <tableColumn id="18" xr3:uid="{831FA5D8-5675-48A9-9351-31BC177770B4}" name="Priority" dataDxfId="22">
      <calculatedColumnFormula>_xlfn.XLOOKUP(Table1[[#This Row],[EIN]],Sheet5!#REF!,Sheet5!#REF!)</calculatedColumnFormula>
    </tableColumn>
    <tableColumn id="2" xr3:uid="{3A057C2D-4F2F-4B71-9C81-047EDCD7E3DA}" name="Date Contacted" dataDxfId="21"/>
    <tableColumn id="3" xr3:uid="{89CB74A2-638E-4707-9CE9-11D137E24001}" name="Phone" dataDxfId="20"/>
    <tableColumn id="4" xr3:uid="{1B17338B-26CA-46A0-A348-592555AAFDE0}" name="Contact" dataDxfId="19"/>
    <tableColumn id="5" xr3:uid="{6FDAD3FB-1A70-4B3C-A7C3-0E6D7A0CF81C}" name="Title" dataDxfId="18"/>
    <tableColumn id="14" xr3:uid="{4679700D-D4D7-48A3-A2D4-BFDA45D1B751}" name="Email" dataDxfId="17"/>
    <tableColumn id="6" xr3:uid="{B2059208-6BD5-49B4-84DE-E1A48ECFDEF8}" name="State" dataDxfId="16"/>
    <tableColumn id="17" xr3:uid="{0D23797A-A439-48DE-84EE-37703BB363DE}" name="Timezone" dataDxfId="15"/>
    <tableColumn id="19" xr3:uid="{0D369A2B-A6A4-48D2-8810-3D172502EFFD}" name="Dependents" dataDxfId="14"/>
    <tableColumn id="16" xr3:uid="{5A35F14B-26BD-44C3-844C-17A935152B1B}" name="EIN" dataDxfId="13"/>
    <tableColumn id="15" xr3:uid="{F8C660A6-3C41-4266-BC2C-AF74A5DA860B}" name="Rating" dataDxfId="12"/>
    <tableColumn id="11" xr3:uid="{49FB7B67-DD56-4211-8ED7-2C185014E690}" name="Website" dataDxfId="11"/>
    <tableColumn id="7" xr3:uid="{EBC75E44-D558-484A-8E64-0D87DB0BA1D1}" name="About" dataDxfId="10"/>
    <tableColumn id="13" xr3:uid="{9AAC00B0-D8A1-48CA-890D-8056D795CE74}" name="Sunsetting" dataDxfId="9"/>
    <tableColumn id="12" xr3:uid="{16F37F46-8C7D-4269-B249-963FC97CC23F}" name="Segment" dataDxfId="8"/>
    <tableColumn id="10" xr3:uid="{66D03849-A26E-44F0-8C7B-A15237294F85}" name="Org Type" dataDxfId="7"/>
    <tableColumn id="8" xr3:uid="{60E2360B-88F4-48EA-B46F-557E8C039458}" name="Outcome" dataDxfId="6"/>
    <tableColumn id="9" xr3:uid="{E2FCBA41-411F-470B-A62E-3F373CF501F2}" name="Call Notes" dataDxfId="5"/>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info@rcwjrf.org" TargetMode="External"/><Relationship Id="rId13" Type="http://schemas.openxmlformats.org/officeDocument/2006/relationships/hyperlink" Target="mailto:matt.goettelman@vetsboats.org" TargetMode="External"/><Relationship Id="rId3" Type="http://schemas.openxmlformats.org/officeDocument/2006/relationships/hyperlink" Target="mailto:stear@pricephilanthropies.org" TargetMode="External"/><Relationship Id="rId7" Type="http://schemas.openxmlformats.org/officeDocument/2006/relationships/hyperlink" Target="mailto:jjackson@weingartfnd.org" TargetMode="External"/><Relationship Id="rId12" Type="http://schemas.openxmlformats.org/officeDocument/2006/relationships/hyperlink" Target="mailto:kcontreras@collinsfoundation.org" TargetMode="External"/><Relationship Id="rId17" Type="http://schemas.openxmlformats.org/officeDocument/2006/relationships/table" Target="../tables/table1.xml"/><Relationship Id="rId2" Type="http://schemas.openxmlformats.org/officeDocument/2006/relationships/hyperlink" Target="mailto:palmer.jackson@gmail.com" TargetMode="External"/><Relationship Id="rId16" Type="http://schemas.openxmlformats.org/officeDocument/2006/relationships/hyperlink" Target="mailto:stear@pricephilanthropies.org" TargetMode="External"/><Relationship Id="rId1" Type="http://schemas.openxmlformats.org/officeDocument/2006/relationships/hyperlink" Target="https://www.hiltonfoundation.org/about/people/" TargetMode="External"/><Relationship Id="rId6" Type="http://schemas.openxmlformats.org/officeDocument/2006/relationships/hyperlink" Target="mailto:questions@mmt.org" TargetMode="External"/><Relationship Id="rId11" Type="http://schemas.openxmlformats.org/officeDocument/2006/relationships/hyperlink" Target="mailto:emily@roundhousefoundation.org" TargetMode="External"/><Relationship Id="rId5" Type="http://schemas.openxmlformats.org/officeDocument/2006/relationships/hyperlink" Target="mailto:mroach@ncousa.com" TargetMode="External"/><Relationship Id="rId15" Type="http://schemas.openxmlformats.org/officeDocument/2006/relationships/hyperlink" Target="mailto:cstancell@dyson.org" TargetMode="External"/><Relationship Id="rId10" Type="http://schemas.openxmlformats.org/officeDocument/2006/relationships/hyperlink" Target="mailto:dorian.luey@thirdplateau.com" TargetMode="External"/><Relationship Id="rId4" Type="http://schemas.openxmlformats.org/officeDocument/2006/relationships/hyperlink" Target="mailto:swalczyk@satterberg.org" TargetMode="External"/><Relationship Id="rId9" Type="http://schemas.openxmlformats.org/officeDocument/2006/relationships/hyperlink" Target="mailto:glen@stupski.org" TargetMode="External"/><Relationship Id="rId14" Type="http://schemas.openxmlformats.org/officeDocument/2006/relationships/hyperlink" Target="mailto:ckam@pricephilanthropies.org%20-%20talked%20to%20Christina%20and%20she%20took%20a%20message%20for%20Sakara%20and%20gave%20me%20her%20email%20so%20I%20can%20forward%20a%20little%20shpeal%20about%20u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swalczyk@satterberg.org"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mailto:tyler@marielamfrom.org" TargetMode="External"/><Relationship Id="rId1" Type="http://schemas.openxmlformats.org/officeDocument/2006/relationships/hyperlink" Target="mailto:rroth@crail-johnson.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T168"/>
  <sheetViews>
    <sheetView tabSelected="1" workbookViewId="0">
      <pane ySplit="2" topLeftCell="R4" activePane="bottomLeft" state="frozen"/>
      <selection pane="bottomLeft" activeCell="A5" sqref="A5:XFD5"/>
      <selection activeCell="J1" sqref="J1"/>
    </sheetView>
  </sheetViews>
  <sheetFormatPr defaultColWidth="9.140625" defaultRowHeight="15"/>
  <cols>
    <col min="1" max="1" width="9.140625" customWidth="1"/>
    <col min="2" max="2" width="24" bestFit="1" customWidth="1"/>
    <col min="3" max="3" width="24" hidden="1" customWidth="1"/>
    <col min="4" max="4" width="19.42578125" style="1" customWidth="1"/>
    <col min="5" max="5" width="18" customWidth="1"/>
    <col min="6" max="6" width="25" customWidth="1"/>
    <col min="7" max="8" width="19.42578125" customWidth="1"/>
    <col min="9" max="9" width="6.42578125" customWidth="1"/>
    <col min="10" max="10" width="8" hidden="1" customWidth="1"/>
    <col min="11" max="12" width="6.42578125" hidden="1" customWidth="1"/>
    <col min="13" max="13" width="10.5703125" hidden="1" customWidth="1"/>
    <col min="14" max="14" width="13" hidden="1" customWidth="1"/>
    <col min="15" max="15" width="28.7109375" customWidth="1"/>
    <col min="16" max="16" width="12.85546875" hidden="1" customWidth="1"/>
    <col min="17" max="17" width="16.42578125" hidden="1" customWidth="1"/>
    <col min="18" max="18" width="15.140625" customWidth="1"/>
    <col min="19" max="19" width="19.42578125" customWidth="1"/>
    <col min="20" max="20" width="94.42578125" style="69" customWidth="1"/>
  </cols>
  <sheetData>
    <row r="2" spans="2:20">
      <c r="B2" s="31" t="s">
        <v>0</v>
      </c>
      <c r="C2" s="31" t="s">
        <v>1</v>
      </c>
      <c r="D2" s="32" t="s">
        <v>2</v>
      </c>
      <c r="E2" s="33" t="s">
        <v>3</v>
      </c>
      <c r="F2" s="33" t="s">
        <v>4</v>
      </c>
      <c r="G2" s="33" t="s">
        <v>5</v>
      </c>
      <c r="H2" s="33" t="s">
        <v>6</v>
      </c>
      <c r="I2" s="33" t="s">
        <v>7</v>
      </c>
      <c r="J2" s="33" t="s">
        <v>8</v>
      </c>
      <c r="K2" s="33" t="s">
        <v>9</v>
      </c>
      <c r="L2" s="33" t="s">
        <v>10</v>
      </c>
      <c r="M2" s="33" t="s">
        <v>11</v>
      </c>
      <c r="N2" s="33" t="s">
        <v>12</v>
      </c>
      <c r="O2" s="33" t="s">
        <v>13</v>
      </c>
      <c r="P2" s="33" t="s">
        <v>14</v>
      </c>
      <c r="Q2" s="33" t="s">
        <v>15</v>
      </c>
      <c r="R2" s="33" t="s">
        <v>16</v>
      </c>
      <c r="S2" s="33" t="s">
        <v>17</v>
      </c>
      <c r="T2" s="67" t="s">
        <v>18</v>
      </c>
    </row>
    <row r="3" spans="2:20" ht="183">
      <c r="B3" s="35" t="s">
        <v>19</v>
      </c>
      <c r="C3" s="35">
        <v>200</v>
      </c>
      <c r="D3" s="36">
        <v>46029</v>
      </c>
      <c r="E3" s="35" t="s">
        <v>20</v>
      </c>
      <c r="F3" s="35" t="s">
        <v>21</v>
      </c>
      <c r="G3" s="35" t="s">
        <v>22</v>
      </c>
      <c r="H3" s="35" t="s">
        <v>23</v>
      </c>
      <c r="I3" s="35" t="s">
        <v>24</v>
      </c>
      <c r="J3" s="35" t="e">
        <v>#N/A</v>
      </c>
      <c r="K3" s="37">
        <v>0</v>
      </c>
      <c r="L3" s="35">
        <v>205966333</v>
      </c>
      <c r="M3" s="35" t="s">
        <v>25</v>
      </c>
      <c r="N3" s="35"/>
      <c r="O3" s="35" t="s">
        <v>26</v>
      </c>
      <c r="P3" s="51">
        <v>2034</v>
      </c>
      <c r="Q3" s="35"/>
      <c r="R3" s="35" t="s">
        <v>27</v>
      </c>
      <c r="S3" s="39" t="s">
        <v>28</v>
      </c>
      <c r="T3" s="66" t="s">
        <v>29</v>
      </c>
    </row>
    <row r="4" spans="2:20" ht="76.5">
      <c r="B4" s="39" t="s">
        <v>30</v>
      </c>
      <c r="C4" s="37" t="e">
        <f>_xlfn.XLOOKUP(Table1[[#This Row],[EIN]],Sheet5!#REF!,Sheet5!#REF!)</f>
        <v>#REF!</v>
      </c>
      <c r="D4" s="38">
        <v>46029</v>
      </c>
      <c r="E4" s="39" t="s">
        <v>31</v>
      </c>
      <c r="F4" s="39" t="s">
        <v>32</v>
      </c>
      <c r="G4" s="39"/>
      <c r="H4" s="46" t="s">
        <v>33</v>
      </c>
      <c r="I4" s="39" t="s">
        <v>34</v>
      </c>
      <c r="J4" s="39" t="s">
        <v>35</v>
      </c>
      <c r="K4" s="37"/>
      <c r="L4" s="37"/>
      <c r="M4" s="37"/>
      <c r="N4" s="42"/>
      <c r="O4" s="39"/>
      <c r="P4" s="37"/>
      <c r="Q4" s="80"/>
      <c r="R4" s="39" t="s">
        <v>36</v>
      </c>
      <c r="S4" s="37" t="s">
        <v>28</v>
      </c>
      <c r="T4" s="48" t="s">
        <v>37</v>
      </c>
    </row>
    <row r="5" spans="2:20" ht="76.5">
      <c r="B5" s="39" t="s">
        <v>38</v>
      </c>
      <c r="C5" s="39"/>
      <c r="D5" s="38">
        <v>46027</v>
      </c>
      <c r="E5" s="39" t="s">
        <v>39</v>
      </c>
      <c r="F5" s="39" t="s">
        <v>40</v>
      </c>
      <c r="G5" s="39" t="s">
        <v>41</v>
      </c>
      <c r="H5" s="39"/>
      <c r="I5" s="39" t="s">
        <v>34</v>
      </c>
      <c r="J5" s="39" t="s">
        <v>35</v>
      </c>
      <c r="K5" s="39"/>
      <c r="L5" s="35"/>
      <c r="M5" s="39" t="s">
        <v>42</v>
      </c>
      <c r="N5" s="39"/>
      <c r="O5" s="39" t="s">
        <v>43</v>
      </c>
      <c r="P5" s="39"/>
      <c r="Q5" s="39" t="s">
        <v>44</v>
      </c>
      <c r="R5" s="39" t="s">
        <v>45</v>
      </c>
      <c r="S5" s="37" t="s">
        <v>46</v>
      </c>
      <c r="T5" s="48" t="s">
        <v>47</v>
      </c>
    </row>
    <row r="6" spans="2:20" ht="45.75">
      <c r="B6" s="37" t="s">
        <v>48</v>
      </c>
      <c r="C6" s="37"/>
      <c r="D6" s="36">
        <v>46027</v>
      </c>
      <c r="E6" s="37" t="s">
        <v>49</v>
      </c>
      <c r="F6" s="37" t="s">
        <v>50</v>
      </c>
      <c r="G6" s="37" t="s">
        <v>51</v>
      </c>
      <c r="H6" s="37"/>
      <c r="I6" s="37" t="s">
        <v>52</v>
      </c>
      <c r="J6" s="37">
        <v>0</v>
      </c>
      <c r="K6" s="37"/>
      <c r="L6" s="35"/>
      <c r="M6" s="37"/>
      <c r="N6" s="37"/>
      <c r="O6" s="37" t="s">
        <v>53</v>
      </c>
      <c r="P6" s="37"/>
      <c r="Q6" s="37" t="s">
        <v>36</v>
      </c>
      <c r="R6" s="37" t="s">
        <v>27</v>
      </c>
      <c r="S6" s="37" t="s">
        <v>46</v>
      </c>
      <c r="T6" s="49" t="s">
        <v>54</v>
      </c>
    </row>
    <row r="7" spans="2:20" ht="60.75">
      <c r="B7" s="35" t="s">
        <v>55</v>
      </c>
      <c r="C7" s="35"/>
      <c r="D7" s="36">
        <v>46029</v>
      </c>
      <c r="E7" s="35" t="s">
        <v>56</v>
      </c>
      <c r="F7" s="35" t="s">
        <v>57</v>
      </c>
      <c r="G7" s="35" t="s">
        <v>58</v>
      </c>
      <c r="H7" s="46" t="s">
        <v>59</v>
      </c>
      <c r="I7" s="35"/>
      <c r="J7" s="35" t="s">
        <v>35</v>
      </c>
      <c r="K7" s="35">
        <v>200</v>
      </c>
      <c r="L7" s="35">
        <v>936021893</v>
      </c>
      <c r="M7" s="35" t="s">
        <v>60</v>
      </c>
      <c r="N7" s="35"/>
      <c r="O7" s="35" t="s">
        <v>61</v>
      </c>
      <c r="P7" s="35"/>
      <c r="Q7" s="35"/>
      <c r="R7" s="37" t="s">
        <v>27</v>
      </c>
      <c r="S7" s="39" t="s">
        <v>46</v>
      </c>
      <c r="T7" s="66" t="s">
        <v>62</v>
      </c>
    </row>
    <row r="8" spans="2:20" ht="137.25">
      <c r="B8" s="35" t="s">
        <v>63</v>
      </c>
      <c r="C8" s="76" t="e">
        <f>_xlfn.XLOOKUP(Table1[[#This Row],[EIN]],Sheet5!#REF!,Sheet5!#REF!)</f>
        <v>#REF!</v>
      </c>
      <c r="D8" s="36">
        <v>46029</v>
      </c>
      <c r="E8" s="35" t="s">
        <v>64</v>
      </c>
      <c r="F8" s="35" t="s">
        <v>65</v>
      </c>
      <c r="G8" s="35" t="s">
        <v>66</v>
      </c>
      <c r="H8" s="46" t="s">
        <v>67</v>
      </c>
      <c r="I8" s="76" t="s">
        <v>68</v>
      </c>
      <c r="J8" s="76" t="s">
        <v>69</v>
      </c>
      <c r="K8" s="76">
        <v>36</v>
      </c>
      <c r="L8" s="76">
        <v>136084888</v>
      </c>
      <c r="M8" s="76" t="s">
        <v>60</v>
      </c>
      <c r="N8" s="76"/>
      <c r="O8" s="76" t="s">
        <v>70</v>
      </c>
      <c r="P8" s="76"/>
      <c r="Q8" s="76"/>
      <c r="R8" s="37" t="s">
        <v>27</v>
      </c>
      <c r="S8" s="78" t="s">
        <v>46</v>
      </c>
      <c r="T8" s="66" t="s">
        <v>71</v>
      </c>
    </row>
    <row r="9" spans="2:20" ht="167.25">
      <c r="B9" s="37" t="s">
        <v>72</v>
      </c>
      <c r="C9" s="37"/>
      <c r="D9" s="36">
        <v>46027</v>
      </c>
      <c r="E9" s="37" t="s">
        <v>73</v>
      </c>
      <c r="F9" s="37" t="s">
        <v>74</v>
      </c>
      <c r="G9" s="37" t="s">
        <v>75</v>
      </c>
      <c r="H9" s="37"/>
      <c r="I9" s="37" t="s">
        <v>34</v>
      </c>
      <c r="J9" s="37" t="s">
        <v>35</v>
      </c>
      <c r="K9" s="37"/>
      <c r="L9" s="37">
        <v>941655673</v>
      </c>
      <c r="M9" s="37" t="s">
        <v>76</v>
      </c>
      <c r="N9" s="37" t="s">
        <v>77</v>
      </c>
      <c r="O9" s="37" t="s">
        <v>78</v>
      </c>
      <c r="P9" s="37"/>
      <c r="Q9" s="37" t="s">
        <v>27</v>
      </c>
      <c r="R9" s="37" t="s">
        <v>27</v>
      </c>
      <c r="S9" s="37" t="s">
        <v>46</v>
      </c>
      <c r="T9" s="49" t="s">
        <v>79</v>
      </c>
    </row>
    <row r="10" spans="2:20" ht="76.5">
      <c r="B10" s="39" t="s">
        <v>80</v>
      </c>
      <c r="C10" s="39"/>
      <c r="D10" s="38">
        <v>46027</v>
      </c>
      <c r="E10" s="39" t="s">
        <v>81</v>
      </c>
      <c r="F10" s="39" t="s">
        <v>82</v>
      </c>
      <c r="G10" s="39" t="s">
        <v>83</v>
      </c>
      <c r="H10" s="39"/>
      <c r="I10" s="39" t="s">
        <v>34</v>
      </c>
      <c r="J10" s="39" t="e">
        <v>#N/A</v>
      </c>
      <c r="K10" s="39"/>
      <c r="L10" s="35"/>
      <c r="M10" s="35" t="s">
        <v>60</v>
      </c>
      <c r="N10" s="39"/>
      <c r="O10" s="39" t="s">
        <v>84</v>
      </c>
      <c r="P10" s="39"/>
      <c r="Q10" s="39" t="s">
        <v>44</v>
      </c>
      <c r="R10" s="39" t="s">
        <v>45</v>
      </c>
      <c r="S10" s="39" t="s">
        <v>46</v>
      </c>
      <c r="T10" s="48" t="s">
        <v>85</v>
      </c>
    </row>
    <row r="11" spans="2:20">
      <c r="B11" s="39"/>
      <c r="C11" s="37" t="e">
        <f>_xlfn.XLOOKUP(Table1[[#This Row],[EIN]],Sheet5!#REF!,Sheet5!#REF!)</f>
        <v>#REF!</v>
      </c>
      <c r="D11" s="38">
        <v>46027</v>
      </c>
      <c r="E11" s="39"/>
      <c r="F11" s="39" t="s">
        <v>86</v>
      </c>
      <c r="G11" s="39" t="s">
        <v>87</v>
      </c>
      <c r="H11" s="37"/>
      <c r="I11" s="39"/>
      <c r="J11" s="39"/>
      <c r="K11" s="37"/>
      <c r="L11" s="37"/>
      <c r="M11" s="37"/>
      <c r="N11" s="42"/>
      <c r="O11" s="39"/>
      <c r="P11" s="37"/>
      <c r="Q11" s="43"/>
      <c r="R11" s="39"/>
      <c r="S11" s="37" t="s">
        <v>46</v>
      </c>
      <c r="T11" s="48"/>
    </row>
    <row r="12" spans="2:20">
      <c r="B12" s="35" t="s">
        <v>88</v>
      </c>
      <c r="C12" s="35"/>
      <c r="D12" s="34">
        <v>46027</v>
      </c>
      <c r="E12" s="35" t="s">
        <v>89</v>
      </c>
      <c r="F12" s="35" t="s">
        <v>90</v>
      </c>
      <c r="G12" s="35" t="s">
        <v>91</v>
      </c>
      <c r="H12" s="35"/>
      <c r="I12" s="35" t="s">
        <v>68</v>
      </c>
      <c r="J12" s="35">
        <v>0</v>
      </c>
      <c r="K12" s="35"/>
      <c r="L12" s="35"/>
      <c r="M12" s="35"/>
      <c r="N12" s="35"/>
      <c r="O12" s="35" t="s">
        <v>92</v>
      </c>
      <c r="P12" s="35"/>
      <c r="Q12" s="35" t="s">
        <v>44</v>
      </c>
      <c r="R12" s="35" t="s">
        <v>45</v>
      </c>
      <c r="S12" s="35" t="s">
        <v>93</v>
      </c>
      <c r="T12" s="66" t="s">
        <v>94</v>
      </c>
    </row>
    <row r="13" spans="2:20">
      <c r="B13" s="39" t="s">
        <v>95</v>
      </c>
      <c r="C13" s="39"/>
      <c r="D13" s="38">
        <v>46027</v>
      </c>
      <c r="E13" s="39" t="s">
        <v>96</v>
      </c>
      <c r="F13" s="39" t="s">
        <v>97</v>
      </c>
      <c r="G13" s="39" t="s">
        <v>98</v>
      </c>
      <c r="H13" s="39"/>
      <c r="I13" s="39" t="s">
        <v>68</v>
      </c>
      <c r="J13" s="39">
        <v>0</v>
      </c>
      <c r="K13" s="39"/>
      <c r="L13" s="35"/>
      <c r="M13" s="39"/>
      <c r="N13" s="39"/>
      <c r="O13" s="39" t="s">
        <v>99</v>
      </c>
      <c r="P13" s="39"/>
      <c r="Q13" s="35" t="s">
        <v>44</v>
      </c>
      <c r="R13" s="39" t="s">
        <v>45</v>
      </c>
      <c r="S13" s="35" t="s">
        <v>93</v>
      </c>
      <c r="T13" s="48" t="s">
        <v>100</v>
      </c>
    </row>
    <row r="14" spans="2:20" ht="30.75">
      <c r="B14" s="37" t="s">
        <v>101</v>
      </c>
      <c r="C14" s="37"/>
      <c r="D14" s="36">
        <v>46027</v>
      </c>
      <c r="E14" s="37" t="s">
        <v>102</v>
      </c>
      <c r="F14" s="37" t="s">
        <v>103</v>
      </c>
      <c r="G14" s="37" t="s">
        <v>104</v>
      </c>
      <c r="H14" s="37"/>
      <c r="I14" s="37" t="s">
        <v>105</v>
      </c>
      <c r="J14" s="37" t="e">
        <v>#N/A</v>
      </c>
      <c r="K14" s="37"/>
      <c r="L14" s="37">
        <v>846002373</v>
      </c>
      <c r="M14" s="37" t="s">
        <v>76</v>
      </c>
      <c r="N14" s="37" t="s">
        <v>106</v>
      </c>
      <c r="O14" s="37" t="s">
        <v>107</v>
      </c>
      <c r="P14" s="37"/>
      <c r="Q14" s="37" t="s">
        <v>27</v>
      </c>
      <c r="R14" s="37" t="s">
        <v>27</v>
      </c>
      <c r="S14" s="37" t="s">
        <v>93</v>
      </c>
      <c r="T14" s="49" t="s">
        <v>108</v>
      </c>
    </row>
    <row r="15" spans="2:20">
      <c r="B15" s="35" t="s">
        <v>109</v>
      </c>
      <c r="C15" s="35" t="e">
        <f>_xlfn.XLOOKUP(Table1[[#This Row],[EIN]],Sheet5!#REF!,Sheet5!#REF!)</f>
        <v>#REF!</v>
      </c>
      <c r="D15" s="36">
        <v>46031</v>
      </c>
      <c r="E15" s="35" t="s">
        <v>110</v>
      </c>
      <c r="F15" s="35" t="s">
        <v>111</v>
      </c>
      <c r="G15" s="35" t="s">
        <v>112</v>
      </c>
      <c r="H15" s="35"/>
      <c r="I15" s="35" t="s">
        <v>113</v>
      </c>
      <c r="J15" s="35" t="s">
        <v>114</v>
      </c>
      <c r="K15" s="35">
        <v>29</v>
      </c>
      <c r="L15" s="35">
        <v>811099715</v>
      </c>
      <c r="M15" s="35" t="s">
        <v>60</v>
      </c>
      <c r="N15" s="35"/>
      <c r="O15" s="35" t="s">
        <v>115</v>
      </c>
      <c r="P15" s="35"/>
      <c r="Q15" s="35"/>
      <c r="R15" s="37" t="s">
        <v>27</v>
      </c>
      <c r="S15" s="39" t="s">
        <v>93</v>
      </c>
      <c r="T15" s="66"/>
    </row>
    <row r="16" spans="2:20" ht="30.75">
      <c r="B16" s="37" t="s">
        <v>116</v>
      </c>
      <c r="C16" s="37"/>
      <c r="D16" s="36">
        <v>46027</v>
      </c>
      <c r="E16" s="37" t="s">
        <v>117</v>
      </c>
      <c r="F16" s="37" t="s">
        <v>118</v>
      </c>
      <c r="G16" s="37" t="s">
        <v>51</v>
      </c>
      <c r="H16" s="37"/>
      <c r="I16" s="37" t="s">
        <v>68</v>
      </c>
      <c r="J16" s="37">
        <v>0</v>
      </c>
      <c r="K16" s="37"/>
      <c r="L16" s="35"/>
      <c r="M16" s="37"/>
      <c r="N16" s="37"/>
      <c r="O16" s="37" t="s">
        <v>119</v>
      </c>
      <c r="P16" s="37"/>
      <c r="Q16" s="37" t="s">
        <v>36</v>
      </c>
      <c r="R16" s="37" t="s">
        <v>36</v>
      </c>
      <c r="S16" s="35" t="s">
        <v>93</v>
      </c>
      <c r="T16" s="49" t="s">
        <v>120</v>
      </c>
    </row>
    <row r="17" spans="2:20" ht="15.75">
      <c r="B17" s="41" t="s">
        <v>121</v>
      </c>
      <c r="C17" s="41"/>
      <c r="D17" s="36">
        <v>46027</v>
      </c>
      <c r="E17" s="37"/>
      <c r="F17" s="37" t="s">
        <v>122</v>
      </c>
      <c r="G17" s="37" t="s">
        <v>51</v>
      </c>
      <c r="H17" s="40" t="s">
        <v>123</v>
      </c>
      <c r="I17" s="41" t="s">
        <v>34</v>
      </c>
      <c r="J17" s="41" t="e">
        <v>#N/A</v>
      </c>
      <c r="K17" s="41"/>
      <c r="L17" s="41">
        <v>956027266</v>
      </c>
      <c r="M17" s="41" t="s">
        <v>76</v>
      </c>
      <c r="N17" s="42"/>
      <c r="O17" s="37"/>
      <c r="P17" s="37"/>
      <c r="Q17" s="43"/>
      <c r="R17" s="37" t="s">
        <v>27</v>
      </c>
      <c r="S17" s="37" t="s">
        <v>93</v>
      </c>
      <c r="T17" s="49" t="s">
        <v>124</v>
      </c>
    </row>
    <row r="18" spans="2:20" ht="30.75">
      <c r="B18" s="35" t="s">
        <v>125</v>
      </c>
      <c r="C18" s="35"/>
      <c r="D18" s="34">
        <v>46027</v>
      </c>
      <c r="E18" s="35" t="s">
        <v>126</v>
      </c>
      <c r="F18" s="35" t="s">
        <v>127</v>
      </c>
      <c r="G18" s="35" t="s">
        <v>128</v>
      </c>
      <c r="H18" s="35"/>
      <c r="I18" s="35" t="s">
        <v>129</v>
      </c>
      <c r="J18" s="35">
        <v>0</v>
      </c>
      <c r="K18" s="35"/>
      <c r="L18" s="35"/>
      <c r="M18" s="35"/>
      <c r="N18" s="35"/>
      <c r="O18" s="35" t="s">
        <v>130</v>
      </c>
      <c r="P18" s="35"/>
      <c r="Q18" s="35" t="s">
        <v>44</v>
      </c>
      <c r="R18" s="35" t="s">
        <v>45</v>
      </c>
      <c r="S18" s="35" t="s">
        <v>93</v>
      </c>
      <c r="T18" s="66" t="s">
        <v>131</v>
      </c>
    </row>
    <row r="19" spans="2:20" ht="30.75">
      <c r="B19" s="35" t="s">
        <v>132</v>
      </c>
      <c r="C19" s="35" t="e">
        <f>_xlfn.XLOOKUP(Table1[[#This Row],[EIN]],Sheet5!#REF!,Sheet5!#REF!)</f>
        <v>#REF!</v>
      </c>
      <c r="D19" s="36">
        <v>46031</v>
      </c>
      <c r="E19" s="35" t="s">
        <v>133</v>
      </c>
      <c r="F19" s="35" t="s">
        <v>134</v>
      </c>
      <c r="G19" s="35" t="s">
        <v>135</v>
      </c>
      <c r="H19" s="46" t="s">
        <v>136</v>
      </c>
      <c r="I19" s="35" t="s">
        <v>34</v>
      </c>
      <c r="J19" s="35" t="s">
        <v>35</v>
      </c>
      <c r="K19" s="35">
        <v>36</v>
      </c>
      <c r="L19" s="35">
        <v>465129465</v>
      </c>
      <c r="M19" s="35" t="s">
        <v>60</v>
      </c>
      <c r="N19" s="35"/>
      <c r="O19" s="35" t="s">
        <v>137</v>
      </c>
      <c r="P19" s="35"/>
      <c r="Q19" s="35"/>
      <c r="R19" s="37" t="s">
        <v>27</v>
      </c>
      <c r="S19" s="39" t="s">
        <v>93</v>
      </c>
      <c r="T19" s="70" t="s">
        <v>138</v>
      </c>
    </row>
    <row r="20" spans="2:20" s="79" customFormat="1" ht="30.75">
      <c r="B20" s="47" t="s">
        <v>139</v>
      </c>
      <c r="C20" s="47"/>
      <c r="D20" s="77">
        <v>46027</v>
      </c>
      <c r="E20" s="47" t="s">
        <v>140</v>
      </c>
      <c r="F20" s="47" t="s">
        <v>141</v>
      </c>
      <c r="G20" s="47" t="s">
        <v>142</v>
      </c>
      <c r="H20" s="47"/>
      <c r="I20" s="47" t="s">
        <v>143</v>
      </c>
      <c r="J20" s="47" t="e">
        <v>#N/A</v>
      </c>
      <c r="K20" s="47"/>
      <c r="L20" s="76"/>
      <c r="M20" s="47"/>
      <c r="N20" s="47"/>
      <c r="O20" s="47" t="s">
        <v>144</v>
      </c>
      <c r="P20" s="47"/>
      <c r="Q20" s="47" t="s">
        <v>36</v>
      </c>
      <c r="R20" s="47" t="s">
        <v>145</v>
      </c>
      <c r="S20" s="78" t="s">
        <v>93</v>
      </c>
      <c r="T20" s="68" t="s">
        <v>146</v>
      </c>
    </row>
    <row r="21" spans="2:20" ht="45.75">
      <c r="B21" s="35" t="s">
        <v>147</v>
      </c>
      <c r="C21" s="35" t="e">
        <f>_xlfn.XLOOKUP(Table1[[#This Row],[EIN]],Sheet5!#REF!,Sheet5!#REF!)</f>
        <v>#REF!</v>
      </c>
      <c r="D21" s="36"/>
      <c r="E21" s="35" t="s">
        <v>148</v>
      </c>
      <c r="F21" s="35" t="s">
        <v>149</v>
      </c>
      <c r="G21" s="35" t="s">
        <v>22</v>
      </c>
      <c r="H21" s="46" t="s">
        <v>150</v>
      </c>
      <c r="I21" s="35" t="s">
        <v>24</v>
      </c>
      <c r="J21" s="35" t="e">
        <v>#N/A</v>
      </c>
      <c r="K21" s="35">
        <v>63</v>
      </c>
      <c r="L21" s="35">
        <v>450921232</v>
      </c>
      <c r="M21" s="35" t="s">
        <v>60</v>
      </c>
      <c r="N21" s="35"/>
      <c r="O21" s="35" t="s">
        <v>151</v>
      </c>
      <c r="P21" s="35" t="s">
        <v>14</v>
      </c>
      <c r="Q21" s="35"/>
      <c r="R21" s="37" t="s">
        <v>27</v>
      </c>
      <c r="S21" s="39" t="s">
        <v>93</v>
      </c>
      <c r="T21" s="66" t="s">
        <v>152</v>
      </c>
    </row>
    <row r="22" spans="2:20">
      <c r="B22" s="35" t="s">
        <v>153</v>
      </c>
      <c r="C22" s="35"/>
      <c r="D22" s="36">
        <v>46029</v>
      </c>
      <c r="E22" s="35" t="s">
        <v>154</v>
      </c>
      <c r="F22" s="35" t="s">
        <v>155</v>
      </c>
      <c r="G22" s="35" t="s">
        <v>156</v>
      </c>
      <c r="H22" s="46" t="s">
        <v>157</v>
      </c>
      <c r="I22" s="35"/>
      <c r="J22" s="35" t="s">
        <v>35</v>
      </c>
      <c r="K22" s="35">
        <v>91</v>
      </c>
      <c r="L22" s="35">
        <v>226930631</v>
      </c>
      <c r="M22" s="35" t="s">
        <v>60</v>
      </c>
      <c r="N22" s="35"/>
      <c r="O22" s="35" t="s">
        <v>158</v>
      </c>
      <c r="P22" s="35"/>
      <c r="Q22" s="35"/>
      <c r="R22" s="37" t="s">
        <v>27</v>
      </c>
      <c r="S22" s="39" t="s">
        <v>93</v>
      </c>
      <c r="T22" s="66" t="s">
        <v>159</v>
      </c>
    </row>
    <row r="23" spans="2:20">
      <c r="B23" s="37" t="s">
        <v>160</v>
      </c>
      <c r="C23" s="37"/>
      <c r="D23" s="36">
        <v>46027</v>
      </c>
      <c r="E23" s="37" t="s">
        <v>161</v>
      </c>
      <c r="F23" s="37" t="s">
        <v>162</v>
      </c>
      <c r="G23" s="37" t="s">
        <v>163</v>
      </c>
      <c r="H23" s="37"/>
      <c r="I23" s="37" t="s">
        <v>164</v>
      </c>
      <c r="J23" s="37" t="e">
        <v>#N/A</v>
      </c>
      <c r="K23" s="37">
        <v>0</v>
      </c>
      <c r="L23" s="35"/>
      <c r="M23" s="37"/>
      <c r="N23" s="37"/>
      <c r="O23" s="37" t="s">
        <v>165</v>
      </c>
      <c r="P23" s="37"/>
      <c r="Q23" s="37" t="s">
        <v>36</v>
      </c>
      <c r="R23" s="37" t="s">
        <v>166</v>
      </c>
      <c r="S23" s="37" t="s">
        <v>167</v>
      </c>
      <c r="T23" s="49"/>
    </row>
    <row r="24" spans="2:20">
      <c r="B24" s="35" t="s">
        <v>168</v>
      </c>
      <c r="C24" s="35"/>
      <c r="D24" s="34">
        <v>46027</v>
      </c>
      <c r="E24" s="35" t="s">
        <v>169</v>
      </c>
      <c r="F24" s="35" t="s">
        <v>170</v>
      </c>
      <c r="G24" s="35" t="s">
        <v>128</v>
      </c>
      <c r="H24" s="35"/>
      <c r="I24" s="35" t="s">
        <v>68</v>
      </c>
      <c r="J24" s="35" t="e">
        <v>#N/A</v>
      </c>
      <c r="K24" s="35">
        <v>0</v>
      </c>
      <c r="L24" s="35"/>
      <c r="M24" s="35"/>
      <c r="N24" s="35"/>
      <c r="O24" s="35" t="s">
        <v>171</v>
      </c>
      <c r="P24" s="35"/>
      <c r="Q24" s="35" t="s">
        <v>44</v>
      </c>
      <c r="R24" s="35" t="s">
        <v>45</v>
      </c>
      <c r="S24" s="37" t="s">
        <v>167</v>
      </c>
      <c r="T24" s="66"/>
    </row>
    <row r="25" spans="2:20" ht="15.75">
      <c r="B25" s="41" t="s">
        <v>172</v>
      </c>
      <c r="C25" s="41"/>
      <c r="D25" s="36">
        <v>46027</v>
      </c>
      <c r="E25" s="37" t="s">
        <v>173</v>
      </c>
      <c r="F25" s="37" t="s">
        <v>174</v>
      </c>
      <c r="G25" s="37" t="s">
        <v>175</v>
      </c>
      <c r="H25" s="40" t="s">
        <v>176</v>
      </c>
      <c r="I25" s="41" t="s">
        <v>34</v>
      </c>
      <c r="J25" s="41" t="e">
        <v>#N/A</v>
      </c>
      <c r="K25" s="41"/>
      <c r="L25" s="41">
        <v>953367511</v>
      </c>
      <c r="M25" s="41" t="s">
        <v>42</v>
      </c>
      <c r="N25" s="42"/>
      <c r="O25" s="37" t="s">
        <v>177</v>
      </c>
      <c r="P25" s="37"/>
      <c r="Q25" s="43"/>
      <c r="R25" s="37"/>
      <c r="S25" s="37" t="s">
        <v>167</v>
      </c>
      <c r="T25" s="49"/>
    </row>
    <row r="26" spans="2:20">
      <c r="B26" s="37" t="s">
        <v>178</v>
      </c>
      <c r="C26" s="37"/>
      <c r="D26" s="36">
        <v>46027</v>
      </c>
      <c r="E26" s="37" t="s">
        <v>179</v>
      </c>
      <c r="F26" s="44" t="s">
        <v>180</v>
      </c>
      <c r="G26" s="37" t="s">
        <v>181</v>
      </c>
      <c r="H26" s="37"/>
      <c r="I26" s="37" t="s">
        <v>105</v>
      </c>
      <c r="J26" s="37">
        <v>0</v>
      </c>
      <c r="K26" s="37"/>
      <c r="L26" s="35"/>
      <c r="M26" s="37"/>
      <c r="N26" s="37"/>
      <c r="O26" s="37" t="s">
        <v>182</v>
      </c>
      <c r="P26" s="37"/>
      <c r="Q26" s="37" t="s">
        <v>36</v>
      </c>
      <c r="R26" s="37" t="s">
        <v>183</v>
      </c>
      <c r="S26" s="37" t="s">
        <v>167</v>
      </c>
      <c r="T26" s="49"/>
    </row>
    <row r="27" spans="2:20">
      <c r="B27" s="37" t="s">
        <v>184</v>
      </c>
      <c r="C27" s="37"/>
      <c r="D27" s="36">
        <v>46027</v>
      </c>
      <c r="E27" s="37" t="s">
        <v>185</v>
      </c>
      <c r="F27" s="37" t="s">
        <v>186</v>
      </c>
      <c r="G27" s="37" t="s">
        <v>51</v>
      </c>
      <c r="H27" s="37"/>
      <c r="I27" s="37" t="s">
        <v>34</v>
      </c>
      <c r="J27" s="37">
        <v>0</v>
      </c>
      <c r="K27" s="37"/>
      <c r="L27" s="35"/>
      <c r="M27" s="37"/>
      <c r="N27" s="37"/>
      <c r="O27" s="37" t="s">
        <v>187</v>
      </c>
      <c r="P27" s="37"/>
      <c r="Q27" s="37" t="s">
        <v>36</v>
      </c>
      <c r="R27" s="37" t="s">
        <v>166</v>
      </c>
      <c r="S27" s="37" t="s">
        <v>167</v>
      </c>
      <c r="T27" s="49"/>
    </row>
    <row r="28" spans="2:20">
      <c r="B28" s="37" t="s">
        <v>188</v>
      </c>
      <c r="C28" s="37"/>
      <c r="D28" s="36">
        <v>46027</v>
      </c>
      <c r="E28" s="37" t="s">
        <v>189</v>
      </c>
      <c r="F28" s="37" t="s">
        <v>190</v>
      </c>
      <c r="G28" s="37" t="s">
        <v>191</v>
      </c>
      <c r="H28" s="37"/>
      <c r="I28" s="37" t="s">
        <v>34</v>
      </c>
      <c r="J28" s="37">
        <v>0</v>
      </c>
      <c r="K28" s="37"/>
      <c r="L28" s="35"/>
      <c r="M28" s="37"/>
      <c r="N28" s="37"/>
      <c r="O28" s="37" t="s">
        <v>192</v>
      </c>
      <c r="P28" s="37"/>
      <c r="Q28" s="37" t="s">
        <v>36</v>
      </c>
      <c r="R28" s="37" t="s">
        <v>193</v>
      </c>
      <c r="S28" s="37" t="s">
        <v>167</v>
      </c>
      <c r="T28" s="49"/>
    </row>
    <row r="29" spans="2:20">
      <c r="B29" s="35" t="s">
        <v>194</v>
      </c>
      <c r="C29" s="35"/>
      <c r="D29" s="34">
        <v>46027</v>
      </c>
      <c r="E29" s="35" t="s">
        <v>195</v>
      </c>
      <c r="F29" s="35" t="s">
        <v>196</v>
      </c>
      <c r="G29" s="35" t="s">
        <v>197</v>
      </c>
      <c r="H29" s="35"/>
      <c r="I29" s="35" t="s">
        <v>68</v>
      </c>
      <c r="J29" s="35">
        <v>0</v>
      </c>
      <c r="K29" s="35"/>
      <c r="L29" s="35"/>
      <c r="M29" s="35"/>
      <c r="N29" s="35"/>
      <c r="O29" s="35" t="s">
        <v>198</v>
      </c>
      <c r="P29" s="35"/>
      <c r="Q29" s="35" t="s">
        <v>44</v>
      </c>
      <c r="R29" s="35" t="s">
        <v>45</v>
      </c>
      <c r="S29" s="37" t="s">
        <v>167</v>
      </c>
      <c r="T29" s="66"/>
    </row>
    <row r="30" spans="2:20">
      <c r="B30" s="35" t="s">
        <v>199</v>
      </c>
      <c r="C30" s="35" t="e">
        <f>_xlfn.XLOOKUP(Table1[[#This Row],[EIN]],Sheet5!#REF!,Sheet5!#REF!)</f>
        <v>#REF!</v>
      </c>
      <c r="D30" s="36">
        <v>46031</v>
      </c>
      <c r="E30" s="35" t="s">
        <v>200</v>
      </c>
      <c r="F30" s="35" t="s">
        <v>201</v>
      </c>
      <c r="G30" s="35" t="s">
        <v>202</v>
      </c>
      <c r="H30" s="35" t="s">
        <v>203</v>
      </c>
      <c r="I30" s="35" t="s">
        <v>204</v>
      </c>
      <c r="J30" s="35" t="e">
        <v>#N/A</v>
      </c>
      <c r="K30" s="35">
        <v>67</v>
      </c>
      <c r="L30" s="35">
        <v>416038619</v>
      </c>
      <c r="M30" s="35" t="s">
        <v>60</v>
      </c>
      <c r="N30" s="35"/>
      <c r="O30" s="35" t="s">
        <v>205</v>
      </c>
      <c r="P30" s="35"/>
      <c r="Q30" s="35"/>
      <c r="R30" s="35"/>
      <c r="S30" s="39" t="s">
        <v>167</v>
      </c>
      <c r="T30" s="66"/>
    </row>
    <row r="31" spans="2:20">
      <c r="B31" s="35" t="s">
        <v>206</v>
      </c>
      <c r="C31" s="35" t="e">
        <f>_xlfn.XLOOKUP(Table1[[#This Row],[EIN]],Sheet5!#REF!,Sheet5!#REF!)</f>
        <v>#REF!</v>
      </c>
      <c r="D31" s="36">
        <v>46031</v>
      </c>
      <c r="E31" s="35" t="s">
        <v>207</v>
      </c>
      <c r="F31" s="35" t="s">
        <v>208</v>
      </c>
      <c r="G31" s="35" t="s">
        <v>209</v>
      </c>
      <c r="H31" s="35" t="s">
        <v>210</v>
      </c>
      <c r="I31" s="35" t="s">
        <v>211</v>
      </c>
      <c r="J31" s="35" t="e">
        <v>#N/A</v>
      </c>
      <c r="K31" s="35">
        <v>133</v>
      </c>
      <c r="L31" s="35">
        <v>680599299</v>
      </c>
      <c r="M31" s="35" t="s">
        <v>60</v>
      </c>
      <c r="N31" s="35"/>
      <c r="O31" s="35" t="s">
        <v>212</v>
      </c>
      <c r="P31" s="35"/>
      <c r="Q31" s="35"/>
      <c r="R31" s="35"/>
      <c r="S31" s="39" t="s">
        <v>167</v>
      </c>
      <c r="T31" s="66" t="s">
        <v>213</v>
      </c>
    </row>
    <row r="32" spans="2:20">
      <c r="B32" s="35" t="s">
        <v>214</v>
      </c>
      <c r="C32" s="35" t="e">
        <f>_xlfn.XLOOKUP(Table1[[#This Row],[EIN]],Sheet5!#REF!,Sheet5!#REF!)</f>
        <v>#REF!</v>
      </c>
      <c r="D32" s="36">
        <v>46031</v>
      </c>
      <c r="E32" s="35" t="s">
        <v>215</v>
      </c>
      <c r="F32" s="35" t="s">
        <v>216</v>
      </c>
      <c r="G32" s="35" t="s">
        <v>217</v>
      </c>
      <c r="H32" s="35" t="s">
        <v>218</v>
      </c>
      <c r="I32" s="35" t="s">
        <v>219</v>
      </c>
      <c r="J32" s="35" t="e">
        <v>#N/A</v>
      </c>
      <c r="K32" s="35">
        <v>42</v>
      </c>
      <c r="L32" s="35">
        <v>251086799</v>
      </c>
      <c r="M32" s="35" t="s">
        <v>60</v>
      </c>
      <c r="N32" s="35"/>
      <c r="O32" s="35" t="s">
        <v>220</v>
      </c>
      <c r="P32" s="35"/>
      <c r="Q32" s="35"/>
      <c r="R32" s="35"/>
      <c r="S32" s="39" t="s">
        <v>167</v>
      </c>
      <c r="T32" s="66" t="s">
        <v>221</v>
      </c>
    </row>
    <row r="33" spans="2:20">
      <c r="B33" s="35" t="s">
        <v>222</v>
      </c>
      <c r="C33" s="35"/>
      <c r="D33" s="36">
        <v>46031</v>
      </c>
      <c r="E33" s="35" t="s">
        <v>223</v>
      </c>
      <c r="F33" s="35" t="s">
        <v>224</v>
      </c>
      <c r="G33" s="35" t="s">
        <v>142</v>
      </c>
      <c r="H33" s="35" t="s">
        <v>225</v>
      </c>
      <c r="I33" s="35" t="s">
        <v>68</v>
      </c>
      <c r="J33" s="35" t="s">
        <v>69</v>
      </c>
      <c r="K33" s="35">
        <v>28</v>
      </c>
      <c r="L33" s="35">
        <v>156019821</v>
      </c>
      <c r="M33" s="35" t="s">
        <v>60</v>
      </c>
      <c r="N33" s="35" t="s">
        <v>226</v>
      </c>
      <c r="O33" s="35" t="s">
        <v>227</v>
      </c>
      <c r="P33" s="35"/>
      <c r="Q33" s="35"/>
      <c r="R33" s="35" t="s">
        <v>27</v>
      </c>
      <c r="S33" s="39" t="s">
        <v>167</v>
      </c>
      <c r="T33" s="66"/>
    </row>
    <row r="34" spans="2:20">
      <c r="B34" s="47" t="s">
        <v>228</v>
      </c>
      <c r="C34" s="47" t="e">
        <f>_xlfn.XLOOKUP(Table1[[#This Row],[EIN]],Sheet5!#REF!,Sheet5!#REF!)</f>
        <v>#REF!</v>
      </c>
      <c r="D34" s="36">
        <v>46027</v>
      </c>
      <c r="E34" s="37" t="s">
        <v>229</v>
      </c>
      <c r="F34" s="37" t="s">
        <v>230</v>
      </c>
      <c r="G34" s="37" t="s">
        <v>231</v>
      </c>
      <c r="H34" s="37"/>
      <c r="I34" s="37" t="s">
        <v>34</v>
      </c>
      <c r="J34" s="37" t="s">
        <v>35</v>
      </c>
      <c r="K34" s="37">
        <v>170</v>
      </c>
      <c r="L34" s="37">
        <v>943100217</v>
      </c>
      <c r="M34" s="37" t="s">
        <v>42</v>
      </c>
      <c r="N34" s="45" t="s">
        <v>232</v>
      </c>
      <c r="O34" s="37" t="s">
        <v>233</v>
      </c>
      <c r="P34" s="37"/>
      <c r="Q34" s="37" t="s">
        <v>27</v>
      </c>
      <c r="R34" s="37"/>
      <c r="S34" s="37" t="s">
        <v>167</v>
      </c>
      <c r="T34" s="49" t="s">
        <v>234</v>
      </c>
    </row>
    <row r="35" spans="2:20">
      <c r="B35" s="35" t="s">
        <v>235</v>
      </c>
      <c r="C35" s="35"/>
      <c r="D35" s="36">
        <v>46031</v>
      </c>
      <c r="E35" s="35" t="s">
        <v>236</v>
      </c>
      <c r="F35" s="35" t="s">
        <v>237</v>
      </c>
      <c r="G35" s="35" t="s">
        <v>142</v>
      </c>
      <c r="H35" s="35"/>
      <c r="I35" s="35" t="s">
        <v>24</v>
      </c>
      <c r="J35" s="35" t="s">
        <v>69</v>
      </c>
      <c r="K35" s="35">
        <v>7</v>
      </c>
      <c r="L35" s="35">
        <v>382283809</v>
      </c>
      <c r="M35" s="35" t="s">
        <v>60</v>
      </c>
      <c r="N35" s="35" t="s">
        <v>238</v>
      </c>
      <c r="O35" s="35" t="s">
        <v>239</v>
      </c>
      <c r="P35" s="35"/>
      <c r="Q35" s="35"/>
      <c r="R35" s="35" t="s">
        <v>27</v>
      </c>
      <c r="S35" s="39" t="s">
        <v>167</v>
      </c>
      <c r="T35" s="66"/>
    </row>
    <row r="36" spans="2:20">
      <c r="B36" s="37" t="s">
        <v>240</v>
      </c>
      <c r="C36" s="37"/>
      <c r="D36" s="36">
        <v>46027</v>
      </c>
      <c r="E36" s="37" t="s">
        <v>241</v>
      </c>
      <c r="F36" s="37" t="s">
        <v>242</v>
      </c>
      <c r="G36" s="37" t="s">
        <v>243</v>
      </c>
      <c r="H36" s="37"/>
      <c r="I36" s="37" t="s">
        <v>34</v>
      </c>
      <c r="J36" s="37">
        <v>0</v>
      </c>
      <c r="K36" s="37"/>
      <c r="L36" s="35"/>
      <c r="M36" s="37"/>
      <c r="N36" s="37"/>
      <c r="O36" s="37" t="s">
        <v>244</v>
      </c>
      <c r="P36" s="37"/>
      <c r="Q36" s="37" t="s">
        <v>36</v>
      </c>
      <c r="R36" s="37" t="s">
        <v>245</v>
      </c>
      <c r="S36" s="37" t="s">
        <v>167</v>
      </c>
      <c r="T36" s="49"/>
    </row>
    <row r="37" spans="2:20">
      <c r="B37" s="37" t="s">
        <v>246</v>
      </c>
      <c r="C37" s="37"/>
      <c r="D37" s="36">
        <v>46027</v>
      </c>
      <c r="E37" s="37" t="s">
        <v>247</v>
      </c>
      <c r="F37" s="37" t="s">
        <v>248</v>
      </c>
      <c r="G37" s="37" t="s">
        <v>51</v>
      </c>
      <c r="H37" s="37"/>
      <c r="I37" s="37" t="s">
        <v>249</v>
      </c>
      <c r="J37" s="37">
        <v>0</v>
      </c>
      <c r="K37" s="37"/>
      <c r="L37" s="35"/>
      <c r="M37" s="37"/>
      <c r="N37" s="37"/>
      <c r="O37" s="37" t="s">
        <v>250</v>
      </c>
      <c r="P37" s="37"/>
      <c r="Q37" s="37" t="s">
        <v>36</v>
      </c>
      <c r="R37" s="37" t="s">
        <v>166</v>
      </c>
      <c r="S37" s="37" t="s">
        <v>167</v>
      </c>
      <c r="T37" s="49"/>
    </row>
    <row r="38" spans="2:20">
      <c r="B38" s="35" t="s">
        <v>251</v>
      </c>
      <c r="C38" s="35" t="e">
        <f>_xlfn.XLOOKUP(Table1[[#This Row],[EIN]],Sheet5!#REF!,Sheet5!#REF!)</f>
        <v>#REF!</v>
      </c>
      <c r="D38" s="36">
        <v>46031</v>
      </c>
      <c r="E38" s="35" t="s">
        <v>252</v>
      </c>
      <c r="F38" s="35" t="s">
        <v>253</v>
      </c>
      <c r="G38" s="35" t="s">
        <v>254</v>
      </c>
      <c r="H38" s="35"/>
      <c r="I38" s="35" t="s">
        <v>255</v>
      </c>
      <c r="J38" s="35" t="e">
        <v>#N/A</v>
      </c>
      <c r="K38" s="35">
        <v>103</v>
      </c>
      <c r="L38" s="35">
        <v>436064859</v>
      </c>
      <c r="M38" s="35" t="s">
        <v>60</v>
      </c>
      <c r="N38" s="35"/>
      <c r="O38" s="35" t="s">
        <v>256</v>
      </c>
      <c r="P38" s="35"/>
      <c r="Q38" s="35"/>
      <c r="R38" s="35"/>
      <c r="S38" s="39" t="s">
        <v>167</v>
      </c>
      <c r="T38" s="66"/>
    </row>
    <row r="39" spans="2:20" ht="30.75">
      <c r="B39" s="35" t="s">
        <v>257</v>
      </c>
      <c r="C39" s="35" t="e">
        <f>_xlfn.XLOOKUP(Table1[[#This Row],[EIN]],Sheet5!#REF!,Sheet5!#REF!)</f>
        <v>#REF!</v>
      </c>
      <c r="D39" s="36">
        <v>46031</v>
      </c>
      <c r="E39" s="35" t="s">
        <v>258</v>
      </c>
      <c r="F39" s="35" t="s">
        <v>259</v>
      </c>
      <c r="G39" s="35" t="s">
        <v>260</v>
      </c>
      <c r="H39" s="35" t="s">
        <v>261</v>
      </c>
      <c r="I39" s="35" t="s">
        <v>262</v>
      </c>
      <c r="J39" s="35" t="e">
        <v>#N/A</v>
      </c>
      <c r="K39" s="35">
        <v>63</v>
      </c>
      <c r="L39" s="35">
        <v>300219424</v>
      </c>
      <c r="M39" s="35" t="s">
        <v>60</v>
      </c>
      <c r="N39" s="35"/>
      <c r="O39" s="35" t="s">
        <v>263</v>
      </c>
      <c r="P39" s="35"/>
      <c r="Q39" s="35"/>
      <c r="R39" s="35"/>
      <c r="S39" s="39" t="s">
        <v>167</v>
      </c>
      <c r="T39" s="66" t="s">
        <v>264</v>
      </c>
    </row>
    <row r="40" spans="2:20">
      <c r="B40" s="35" t="s">
        <v>265</v>
      </c>
      <c r="C40" s="35" t="e">
        <f>_xlfn.XLOOKUP(Table1[[#This Row],[EIN]],Sheet5!#REF!,Sheet5!#REF!)</f>
        <v>#REF!</v>
      </c>
      <c r="D40" s="36">
        <v>46031</v>
      </c>
      <c r="E40" s="35" t="s">
        <v>266</v>
      </c>
      <c r="F40" s="35" t="s">
        <v>267</v>
      </c>
      <c r="G40" s="35" t="s">
        <v>268</v>
      </c>
      <c r="H40" s="35" t="s">
        <v>269</v>
      </c>
      <c r="I40" s="35" t="s">
        <v>113</v>
      </c>
      <c r="J40" s="35" t="s">
        <v>114</v>
      </c>
      <c r="K40" s="35">
        <v>538</v>
      </c>
      <c r="L40" s="35">
        <v>810465899</v>
      </c>
      <c r="M40" s="35" t="s">
        <v>60</v>
      </c>
      <c r="N40" s="35"/>
      <c r="O40" s="35" t="s">
        <v>270</v>
      </c>
      <c r="P40" s="35"/>
      <c r="Q40" s="35"/>
      <c r="R40" s="35"/>
      <c r="S40" s="39" t="s">
        <v>167</v>
      </c>
      <c r="T40" s="66"/>
    </row>
    <row r="41" spans="2:20">
      <c r="B41" s="35" t="s">
        <v>271</v>
      </c>
      <c r="C41" s="35" t="e">
        <f>_xlfn.XLOOKUP(Table1[[#This Row],[EIN]],Sheet5!#REF!,Sheet5!#REF!)</f>
        <v>#REF!</v>
      </c>
      <c r="D41" s="36">
        <v>46029</v>
      </c>
      <c r="E41" s="35" t="s">
        <v>272</v>
      </c>
      <c r="F41" s="35" t="s">
        <v>273</v>
      </c>
      <c r="G41" s="35" t="s">
        <v>274</v>
      </c>
      <c r="H41" s="35" t="s">
        <v>275</v>
      </c>
      <c r="I41" s="35" t="s">
        <v>276</v>
      </c>
      <c r="J41" s="35" t="e">
        <v>#N/A</v>
      </c>
      <c r="K41" s="35">
        <v>37</v>
      </c>
      <c r="L41" s="35">
        <v>237406010</v>
      </c>
      <c r="M41" s="35" t="s">
        <v>60</v>
      </c>
      <c r="N41" s="35"/>
      <c r="O41" s="35" t="s">
        <v>277</v>
      </c>
      <c r="P41" s="35"/>
      <c r="Q41" s="35"/>
      <c r="R41" s="35"/>
      <c r="S41" s="39" t="s">
        <v>167</v>
      </c>
      <c r="T41" s="66"/>
    </row>
    <row r="42" spans="2:20">
      <c r="B42" s="35" t="s">
        <v>278</v>
      </c>
      <c r="C42" s="35"/>
      <c r="D42" s="36">
        <v>46031</v>
      </c>
      <c r="E42" s="35" t="s">
        <v>279</v>
      </c>
      <c r="F42" s="35" t="s">
        <v>280</v>
      </c>
      <c r="G42" s="35" t="s">
        <v>281</v>
      </c>
      <c r="H42" s="35" t="s">
        <v>282</v>
      </c>
      <c r="I42" s="35" t="s">
        <v>219</v>
      </c>
      <c r="J42" s="35" t="s">
        <v>69</v>
      </c>
      <c r="K42" s="35">
        <v>66</v>
      </c>
      <c r="L42" s="35">
        <v>222583922</v>
      </c>
      <c r="M42" s="35" t="s">
        <v>60</v>
      </c>
      <c r="N42" s="35" t="s">
        <v>283</v>
      </c>
      <c r="O42" s="35" t="s">
        <v>284</v>
      </c>
      <c r="P42" s="35"/>
      <c r="Q42" s="35"/>
      <c r="R42" s="35" t="s">
        <v>27</v>
      </c>
      <c r="S42" s="39" t="s">
        <v>167</v>
      </c>
      <c r="T42" s="66"/>
    </row>
    <row r="43" spans="2:20">
      <c r="B43" s="35" t="s">
        <v>285</v>
      </c>
      <c r="C43" s="35">
        <v>50</v>
      </c>
      <c r="D43" s="36">
        <v>46029</v>
      </c>
      <c r="E43" s="35" t="s">
        <v>286</v>
      </c>
      <c r="F43" s="35" t="s">
        <v>287</v>
      </c>
      <c r="G43" s="35" t="s">
        <v>288</v>
      </c>
      <c r="H43" s="46" t="s">
        <v>289</v>
      </c>
      <c r="I43" s="35" t="s">
        <v>34</v>
      </c>
      <c r="J43" s="35" t="s">
        <v>35</v>
      </c>
      <c r="K43" s="37">
        <v>0</v>
      </c>
      <c r="L43" s="35">
        <v>611583546</v>
      </c>
      <c r="M43" s="35" t="s">
        <v>25</v>
      </c>
      <c r="N43" s="35"/>
      <c r="O43" s="35" t="s">
        <v>290</v>
      </c>
      <c r="P43" s="51">
        <v>2034</v>
      </c>
      <c r="Q43" s="35"/>
      <c r="R43" s="35" t="s">
        <v>27</v>
      </c>
      <c r="S43" s="39" t="s">
        <v>167</v>
      </c>
      <c r="T43" s="66"/>
    </row>
    <row r="44" spans="2:20">
      <c r="B44" s="35" t="s">
        <v>291</v>
      </c>
      <c r="C44" s="35" t="e">
        <f>_xlfn.XLOOKUP(Table1[[#This Row],[EIN]],Sheet5!#REF!,Sheet5!#REF!)</f>
        <v>#REF!</v>
      </c>
      <c r="D44" s="36">
        <v>46029</v>
      </c>
      <c r="E44" s="35" t="s">
        <v>292</v>
      </c>
      <c r="F44" s="35" t="s">
        <v>293</v>
      </c>
      <c r="G44" s="35" t="s">
        <v>294</v>
      </c>
      <c r="H44" s="35" t="s">
        <v>295</v>
      </c>
      <c r="I44" s="35" t="s">
        <v>219</v>
      </c>
      <c r="J44" s="35" t="e">
        <v>#N/A</v>
      </c>
      <c r="K44" s="35">
        <v>79</v>
      </c>
      <c r="L44" s="35">
        <v>256065959</v>
      </c>
      <c r="M44" s="35" t="s">
        <v>60</v>
      </c>
      <c r="N44" s="35"/>
      <c r="O44" s="35" t="s">
        <v>296</v>
      </c>
      <c r="P44" s="35"/>
      <c r="Q44" s="35"/>
      <c r="R44" s="35"/>
      <c r="S44" s="39" t="s">
        <v>167</v>
      </c>
      <c r="T44" s="66"/>
    </row>
    <row r="45" spans="2:20">
      <c r="B45" s="37" t="s">
        <v>297</v>
      </c>
      <c r="C45" s="37"/>
      <c r="D45" s="36">
        <v>46027</v>
      </c>
      <c r="E45" s="37" t="s">
        <v>298</v>
      </c>
      <c r="F45" s="37" t="s">
        <v>299</v>
      </c>
      <c r="G45" s="37" t="s">
        <v>300</v>
      </c>
      <c r="H45" s="37"/>
      <c r="I45" s="37" t="s">
        <v>301</v>
      </c>
      <c r="J45" s="37">
        <v>0</v>
      </c>
      <c r="K45" s="37"/>
      <c r="L45" s="35"/>
      <c r="M45" s="37"/>
      <c r="N45" s="37"/>
      <c r="O45" s="37" t="s">
        <v>302</v>
      </c>
      <c r="P45" s="37"/>
      <c r="Q45" s="37" t="s">
        <v>36</v>
      </c>
      <c r="R45" s="37" t="s">
        <v>303</v>
      </c>
      <c r="S45" s="37" t="s">
        <v>167</v>
      </c>
      <c r="T45" s="49"/>
    </row>
    <row r="46" spans="2:20">
      <c r="B46" s="35" t="s">
        <v>304</v>
      </c>
      <c r="C46" s="35" t="e">
        <f>_xlfn.XLOOKUP(Table1[[#This Row],[EIN]],Sheet5!#REF!,Sheet5!#REF!)</f>
        <v>#REF!</v>
      </c>
      <c r="D46" s="36">
        <v>46029</v>
      </c>
      <c r="E46" s="35" t="s">
        <v>305</v>
      </c>
      <c r="F46" s="35" t="s">
        <v>306</v>
      </c>
      <c r="G46" s="35" t="s">
        <v>307</v>
      </c>
      <c r="H46" s="35" t="s">
        <v>308</v>
      </c>
      <c r="I46" s="35" t="s">
        <v>309</v>
      </c>
      <c r="J46" s="35" t="e">
        <v>#N/A</v>
      </c>
      <c r="K46" s="35">
        <v>41</v>
      </c>
      <c r="L46" s="35">
        <v>392076346</v>
      </c>
      <c r="M46" s="35" t="s">
        <v>60</v>
      </c>
      <c r="N46" s="35"/>
      <c r="O46" s="35" t="s">
        <v>310</v>
      </c>
      <c r="P46" s="35"/>
      <c r="Q46" s="35"/>
      <c r="R46" s="35"/>
      <c r="S46" s="39" t="s">
        <v>167</v>
      </c>
      <c r="T46" s="66"/>
    </row>
    <row r="47" spans="2:20">
      <c r="B47" s="39" t="s">
        <v>311</v>
      </c>
      <c r="C47" s="39"/>
      <c r="D47" s="38">
        <v>46027</v>
      </c>
      <c r="E47" s="39" t="s">
        <v>312</v>
      </c>
      <c r="F47" s="39" t="s">
        <v>313</v>
      </c>
      <c r="G47" s="39" t="s">
        <v>314</v>
      </c>
      <c r="H47" s="39"/>
      <c r="I47" s="39" t="s">
        <v>143</v>
      </c>
      <c r="J47" s="39" t="e">
        <v>#N/A</v>
      </c>
      <c r="K47" s="39"/>
      <c r="L47" s="35"/>
      <c r="M47" s="39"/>
      <c r="N47" s="39"/>
      <c r="O47" s="39" t="s">
        <v>315</v>
      </c>
      <c r="P47" s="39"/>
      <c r="Q47" s="39" t="s">
        <v>44</v>
      </c>
      <c r="R47" s="39" t="s">
        <v>45</v>
      </c>
      <c r="S47" s="39" t="s">
        <v>167</v>
      </c>
      <c r="T47" s="48"/>
    </row>
    <row r="48" spans="2:20">
      <c r="B48" s="35" t="s">
        <v>316</v>
      </c>
      <c r="C48" s="35" t="e">
        <f>_xlfn.XLOOKUP(Table1[[#This Row],[EIN]],Sheet5!#REF!,Sheet5!#REF!)</f>
        <v>#REF!</v>
      </c>
      <c r="D48" s="36">
        <v>46029</v>
      </c>
      <c r="E48" s="35" t="s">
        <v>317</v>
      </c>
      <c r="F48" s="35" t="s">
        <v>318</v>
      </c>
      <c r="G48" s="35" t="s">
        <v>319</v>
      </c>
      <c r="H48" s="35" t="s">
        <v>320</v>
      </c>
      <c r="I48" s="35" t="s">
        <v>143</v>
      </c>
      <c r="J48" s="35" t="s">
        <v>35</v>
      </c>
      <c r="K48" s="35">
        <v>134</v>
      </c>
      <c r="L48" s="35">
        <v>237456468</v>
      </c>
      <c r="M48" s="35" t="s">
        <v>60</v>
      </c>
      <c r="N48" s="35"/>
      <c r="O48" s="35" t="s">
        <v>321</v>
      </c>
      <c r="P48" s="35"/>
      <c r="Q48" s="35"/>
      <c r="R48" s="35"/>
      <c r="S48" s="39" t="s">
        <v>167</v>
      </c>
      <c r="T48" s="66"/>
    </row>
    <row r="49" spans="2:20">
      <c r="B49" s="35" t="s">
        <v>322</v>
      </c>
      <c r="C49" s="35" t="e">
        <f>_xlfn.XLOOKUP(Table1[[#This Row],[EIN]],Sheet5!#REF!,Sheet5!#REF!)</f>
        <v>#REF!</v>
      </c>
      <c r="D49" s="36">
        <v>46029</v>
      </c>
      <c r="E49" s="35" t="s">
        <v>323</v>
      </c>
      <c r="F49" s="35" t="s">
        <v>324</v>
      </c>
      <c r="G49" s="35" t="s">
        <v>274</v>
      </c>
      <c r="H49" s="35" t="s">
        <v>325</v>
      </c>
      <c r="I49" s="35" t="s">
        <v>143</v>
      </c>
      <c r="J49" s="35" t="s">
        <v>35</v>
      </c>
      <c r="K49" s="35">
        <v>35</v>
      </c>
      <c r="L49" s="35">
        <v>912062197</v>
      </c>
      <c r="M49" s="35" t="s">
        <v>60</v>
      </c>
      <c r="N49" s="35"/>
      <c r="O49" s="35" t="s">
        <v>326</v>
      </c>
      <c r="P49" s="35"/>
      <c r="Q49" s="35"/>
      <c r="R49" s="35"/>
      <c r="S49" s="39" t="s">
        <v>167</v>
      </c>
      <c r="T49" s="66"/>
    </row>
    <row r="50" spans="2:20">
      <c r="B50" s="37" t="s">
        <v>327</v>
      </c>
      <c r="C50" s="37"/>
      <c r="D50" s="36">
        <v>46027</v>
      </c>
      <c r="E50" s="37" t="s">
        <v>328</v>
      </c>
      <c r="F50" s="37" t="s">
        <v>329</v>
      </c>
      <c r="G50" s="37" t="s">
        <v>51</v>
      </c>
      <c r="H50" s="37"/>
      <c r="I50" s="37" t="s">
        <v>34</v>
      </c>
      <c r="J50" s="37">
        <v>0</v>
      </c>
      <c r="K50" s="37"/>
      <c r="L50" s="35"/>
      <c r="M50" s="37"/>
      <c r="N50" s="37"/>
      <c r="O50" s="37" t="s">
        <v>330</v>
      </c>
      <c r="P50" s="37"/>
      <c r="Q50" s="37" t="s">
        <v>36</v>
      </c>
      <c r="R50" s="37" t="s">
        <v>193</v>
      </c>
      <c r="S50" s="37" t="s">
        <v>167</v>
      </c>
      <c r="T50" s="49" t="s">
        <v>331</v>
      </c>
    </row>
    <row r="51" spans="2:20">
      <c r="B51" s="35" t="s">
        <v>332</v>
      </c>
      <c r="C51" s="35" t="e">
        <f>_xlfn.XLOOKUP(Table1[[#This Row],[EIN]],Sheet5!#REF!,Sheet5!#REF!)</f>
        <v>#REF!</v>
      </c>
      <c r="D51" s="36">
        <v>46029</v>
      </c>
      <c r="E51" s="35" t="s">
        <v>333</v>
      </c>
      <c r="F51" s="35" t="s">
        <v>334</v>
      </c>
      <c r="G51" s="35" t="s">
        <v>51</v>
      </c>
      <c r="H51" s="35" t="s">
        <v>335</v>
      </c>
      <c r="I51" s="35" t="s">
        <v>336</v>
      </c>
      <c r="J51" s="35" t="s">
        <v>35</v>
      </c>
      <c r="K51" s="35">
        <v>149</v>
      </c>
      <c r="L51" s="35">
        <v>931254171</v>
      </c>
      <c r="M51" s="35" t="s">
        <v>60</v>
      </c>
      <c r="N51" s="35"/>
      <c r="O51" s="35" t="s">
        <v>337</v>
      </c>
      <c r="P51" s="35"/>
      <c r="Q51" s="35"/>
      <c r="R51" s="35"/>
      <c r="S51" s="39" t="s">
        <v>167</v>
      </c>
      <c r="T51" s="66"/>
    </row>
    <row r="52" spans="2:20" ht="30.75">
      <c r="B52" s="35" t="s">
        <v>338</v>
      </c>
      <c r="C52" s="35" t="e">
        <f>_xlfn.XLOOKUP(Table1[[#This Row],[EIN]],Sheet5!#REF!,Sheet5!#REF!)</f>
        <v>#REF!</v>
      </c>
      <c r="D52" s="36">
        <v>46031</v>
      </c>
      <c r="E52" s="35" t="s">
        <v>339</v>
      </c>
      <c r="F52" s="35" t="s">
        <v>340</v>
      </c>
      <c r="G52" s="35" t="s">
        <v>142</v>
      </c>
      <c r="H52" s="35" t="s">
        <v>341</v>
      </c>
      <c r="I52" s="35" t="s">
        <v>342</v>
      </c>
      <c r="J52" s="35" t="s">
        <v>114</v>
      </c>
      <c r="K52" s="35">
        <v>43</v>
      </c>
      <c r="L52" s="35">
        <v>850429439</v>
      </c>
      <c r="M52" s="35" t="s">
        <v>60</v>
      </c>
      <c r="N52" s="35"/>
      <c r="O52" s="35" t="s">
        <v>343</v>
      </c>
      <c r="P52" s="35"/>
      <c r="Q52" s="35"/>
      <c r="R52" s="35"/>
      <c r="S52" s="39" t="s">
        <v>167</v>
      </c>
      <c r="T52" s="66" t="s">
        <v>344</v>
      </c>
    </row>
    <row r="53" spans="2:20">
      <c r="B53" s="35" t="s">
        <v>345</v>
      </c>
      <c r="C53" s="35">
        <v>54</v>
      </c>
      <c r="D53" s="36">
        <v>46029</v>
      </c>
      <c r="E53" s="35" t="s">
        <v>346</v>
      </c>
      <c r="F53" s="35" t="s">
        <v>347</v>
      </c>
      <c r="G53" s="35" t="s">
        <v>142</v>
      </c>
      <c r="H53" s="35"/>
      <c r="I53" s="35" t="s">
        <v>143</v>
      </c>
      <c r="J53" s="35" t="s">
        <v>35</v>
      </c>
      <c r="K53" s="37">
        <v>0</v>
      </c>
      <c r="L53" s="35">
        <v>910745225</v>
      </c>
      <c r="M53" s="35" t="s">
        <v>25</v>
      </c>
      <c r="N53" s="35"/>
      <c r="O53" s="35" t="s">
        <v>348</v>
      </c>
      <c r="P53" s="51">
        <v>2028</v>
      </c>
      <c r="Q53" s="35"/>
      <c r="R53" s="35" t="s">
        <v>27</v>
      </c>
      <c r="S53" s="39" t="s">
        <v>167</v>
      </c>
      <c r="T53" s="66"/>
    </row>
    <row r="54" spans="2:20">
      <c r="B54" s="37" t="s">
        <v>349</v>
      </c>
      <c r="C54" s="37" t="e">
        <f>_xlfn.XLOOKUP(Table1[[#This Row],[EIN]],Sheet5!#REF!,Sheet5!#REF!)</f>
        <v>#REF!</v>
      </c>
      <c r="D54" s="36">
        <v>46027</v>
      </c>
      <c r="E54" s="37" t="s">
        <v>350</v>
      </c>
      <c r="F54" s="37" t="s">
        <v>351</v>
      </c>
      <c r="G54" s="46"/>
      <c r="H54" s="46" t="s">
        <v>352</v>
      </c>
      <c r="I54" s="37" t="s">
        <v>336</v>
      </c>
      <c r="J54" s="37" t="s">
        <v>35</v>
      </c>
      <c r="K54" s="37">
        <v>107</v>
      </c>
      <c r="L54" s="37">
        <v>930806316</v>
      </c>
      <c r="M54" s="37" t="s">
        <v>42</v>
      </c>
      <c r="N54" s="37" t="s">
        <v>353</v>
      </c>
      <c r="O54" s="37" t="s">
        <v>354</v>
      </c>
      <c r="P54" s="37"/>
      <c r="Q54" s="37" t="s">
        <v>27</v>
      </c>
      <c r="R54" s="47"/>
      <c r="S54" s="47" t="s">
        <v>167</v>
      </c>
      <c r="T54" s="68"/>
    </row>
    <row r="55" spans="2:20">
      <c r="B55" s="35" t="s">
        <v>355</v>
      </c>
      <c r="C55" s="35" t="e">
        <f>_xlfn.XLOOKUP(Table1[[#This Row],[EIN]],Sheet5!#REF!,Sheet5!#REF!)</f>
        <v>#REF!</v>
      </c>
      <c r="D55" s="36">
        <v>46029</v>
      </c>
      <c r="E55" s="35" t="s">
        <v>356</v>
      </c>
      <c r="F55" s="35" t="s">
        <v>357</v>
      </c>
      <c r="G55" s="35" t="s">
        <v>358</v>
      </c>
      <c r="H55" s="35" t="s">
        <v>359</v>
      </c>
      <c r="I55" s="35" t="s">
        <v>360</v>
      </c>
      <c r="J55" s="35" t="e">
        <v>#N/A</v>
      </c>
      <c r="K55" s="35">
        <v>52</v>
      </c>
      <c r="L55" s="35">
        <v>815135504</v>
      </c>
      <c r="M55" s="35" t="s">
        <v>60</v>
      </c>
      <c r="N55" s="35"/>
      <c r="O55" s="35" t="s">
        <v>361</v>
      </c>
      <c r="P55" s="35"/>
      <c r="Q55" s="35"/>
      <c r="R55" s="35"/>
      <c r="S55" s="39" t="s">
        <v>167</v>
      </c>
      <c r="T55" s="66"/>
    </row>
    <row r="56" spans="2:20">
      <c r="B56" s="35" t="s">
        <v>362</v>
      </c>
      <c r="C56" s="35"/>
      <c r="D56" s="34">
        <v>46027</v>
      </c>
      <c r="E56" s="35" t="s">
        <v>363</v>
      </c>
      <c r="F56" s="35" t="s">
        <v>364</v>
      </c>
      <c r="G56" s="35" t="s">
        <v>365</v>
      </c>
      <c r="H56" s="35"/>
      <c r="I56" s="35" t="s">
        <v>276</v>
      </c>
      <c r="J56" s="35">
        <v>0</v>
      </c>
      <c r="K56" s="35"/>
      <c r="L56" s="35"/>
      <c r="M56" s="35"/>
      <c r="N56" s="35"/>
      <c r="O56" s="35" t="s">
        <v>366</v>
      </c>
      <c r="P56" s="35"/>
      <c r="Q56" s="35" t="s">
        <v>44</v>
      </c>
      <c r="R56" s="35" t="s">
        <v>45</v>
      </c>
      <c r="S56" s="37" t="s">
        <v>167</v>
      </c>
      <c r="T56" s="66"/>
    </row>
    <row r="57" spans="2:20">
      <c r="B57" s="35" t="s">
        <v>367</v>
      </c>
      <c r="C57" s="35">
        <v>206</v>
      </c>
      <c r="D57" s="36">
        <v>46029</v>
      </c>
      <c r="E57" s="35" t="s">
        <v>368</v>
      </c>
      <c r="F57" s="35" t="s">
        <v>369</v>
      </c>
      <c r="G57" s="35" t="s">
        <v>142</v>
      </c>
      <c r="H57" s="35" t="s">
        <v>370</v>
      </c>
      <c r="I57" s="35" t="s">
        <v>371</v>
      </c>
      <c r="J57" s="35" t="e">
        <v>#N/A</v>
      </c>
      <c r="K57" s="37">
        <v>0</v>
      </c>
      <c r="L57" s="35">
        <v>476098282</v>
      </c>
      <c r="M57" s="35" t="s">
        <v>25</v>
      </c>
      <c r="N57" s="35"/>
      <c r="O57" s="35" t="s">
        <v>372</v>
      </c>
      <c r="P57" s="51">
        <v>2030</v>
      </c>
      <c r="Q57" s="35"/>
      <c r="R57" s="35" t="s">
        <v>27</v>
      </c>
      <c r="S57" s="39" t="s">
        <v>167</v>
      </c>
      <c r="T57" s="66"/>
    </row>
    <row r="58" spans="2:20">
      <c r="B58" s="35" t="s">
        <v>373</v>
      </c>
      <c r="C58" s="35" t="e">
        <f>_xlfn.XLOOKUP(Table1[[#This Row],[EIN]],Sheet5!#REF!,Sheet5!#REF!)</f>
        <v>#REF!</v>
      </c>
      <c r="D58" s="36">
        <v>46031</v>
      </c>
      <c r="E58" s="35" t="s">
        <v>374</v>
      </c>
      <c r="F58" s="35" t="s">
        <v>375</v>
      </c>
      <c r="G58" s="35" t="s">
        <v>51</v>
      </c>
      <c r="H58" s="35"/>
      <c r="I58" s="35" t="s">
        <v>204</v>
      </c>
      <c r="J58" s="35" t="e">
        <v>#N/A</v>
      </c>
      <c r="K58" s="35">
        <v>41</v>
      </c>
      <c r="L58" s="35">
        <v>411768558</v>
      </c>
      <c r="M58" s="35" t="s">
        <v>60</v>
      </c>
      <c r="N58" s="35"/>
      <c r="O58" s="35" t="s">
        <v>376</v>
      </c>
      <c r="P58" s="35"/>
      <c r="Q58" s="35"/>
      <c r="R58" s="35"/>
      <c r="S58" s="39" t="s">
        <v>167</v>
      </c>
      <c r="T58" s="66"/>
    </row>
    <row r="59" spans="2:20">
      <c r="B59" s="37" t="s">
        <v>377</v>
      </c>
      <c r="C59" s="37"/>
      <c r="D59" s="36">
        <v>46027</v>
      </c>
      <c r="E59" s="37" t="s">
        <v>378</v>
      </c>
      <c r="F59" s="37" t="s">
        <v>379</v>
      </c>
      <c r="G59" s="37" t="s">
        <v>142</v>
      </c>
      <c r="H59" s="37"/>
      <c r="I59" s="37" t="s">
        <v>34</v>
      </c>
      <c r="J59" s="37">
        <v>0</v>
      </c>
      <c r="K59" s="37"/>
      <c r="L59" s="35"/>
      <c r="M59" s="37"/>
      <c r="N59" s="37"/>
      <c r="O59" s="37" t="s">
        <v>380</v>
      </c>
      <c r="P59" s="37"/>
      <c r="Q59" s="37" t="s">
        <v>36</v>
      </c>
      <c r="R59" s="37" t="s">
        <v>381</v>
      </c>
      <c r="S59" s="37" t="s">
        <v>167</v>
      </c>
      <c r="T59" s="49"/>
    </row>
    <row r="60" spans="2:20" ht="120" customHeight="1">
      <c r="B60" s="35" t="s">
        <v>382</v>
      </c>
      <c r="C60" s="35"/>
      <c r="D60" s="36">
        <v>46029</v>
      </c>
      <c r="E60" s="35" t="s">
        <v>383</v>
      </c>
      <c r="F60" s="35" t="s">
        <v>384</v>
      </c>
      <c r="G60" s="35" t="s">
        <v>385</v>
      </c>
      <c r="H60" s="35" t="s">
        <v>386</v>
      </c>
      <c r="I60" s="35"/>
      <c r="J60" s="35" t="s">
        <v>35</v>
      </c>
      <c r="K60" s="35">
        <v>0</v>
      </c>
      <c r="L60" s="35">
        <v>912173492</v>
      </c>
      <c r="M60" s="35" t="s">
        <v>60</v>
      </c>
      <c r="N60" s="35"/>
      <c r="O60" s="35" t="s">
        <v>387</v>
      </c>
      <c r="P60" s="35"/>
      <c r="Q60" s="35"/>
      <c r="R60" s="35"/>
      <c r="S60" s="39" t="s">
        <v>167</v>
      </c>
      <c r="T60" s="66"/>
    </row>
    <row r="61" spans="2:20">
      <c r="B61" s="35" t="s">
        <v>388</v>
      </c>
      <c r="C61" s="35" t="e">
        <f>_xlfn.XLOOKUP(Table1[[#This Row],[EIN]],Sheet5!#REF!,Sheet5!#REF!)</f>
        <v>#REF!</v>
      </c>
      <c r="D61" s="36">
        <v>46031</v>
      </c>
      <c r="E61" s="35" t="s">
        <v>389</v>
      </c>
      <c r="F61" s="35" t="s">
        <v>390</v>
      </c>
      <c r="G61" s="35" t="s">
        <v>274</v>
      </c>
      <c r="H61" s="35" t="s">
        <v>391</v>
      </c>
      <c r="I61" s="35" t="s">
        <v>392</v>
      </c>
      <c r="J61" s="35" t="e">
        <v>#N/A</v>
      </c>
      <c r="K61" s="35">
        <v>213</v>
      </c>
      <c r="L61" s="35">
        <v>916340739</v>
      </c>
      <c r="M61" s="35" t="s">
        <v>60</v>
      </c>
      <c r="N61" s="35"/>
      <c r="O61" s="35" t="s">
        <v>393</v>
      </c>
      <c r="P61" s="35"/>
      <c r="Q61" s="35"/>
      <c r="R61" s="35"/>
      <c r="S61" s="39" t="s">
        <v>167</v>
      </c>
      <c r="T61" s="66"/>
    </row>
    <row r="62" spans="2:20">
      <c r="B62" s="35" t="s">
        <v>394</v>
      </c>
      <c r="C62" s="35"/>
      <c r="D62" s="36">
        <v>46029</v>
      </c>
      <c r="E62" s="35" t="s">
        <v>395</v>
      </c>
      <c r="F62" s="35" t="s">
        <v>396</v>
      </c>
      <c r="G62" s="35" t="s">
        <v>397</v>
      </c>
      <c r="H62" s="35"/>
      <c r="I62" s="35"/>
      <c r="J62" s="35" t="s">
        <v>35</v>
      </c>
      <c r="K62" s="35">
        <v>688</v>
      </c>
      <c r="L62" s="35">
        <v>261325469</v>
      </c>
      <c r="M62" s="35" t="s">
        <v>60</v>
      </c>
      <c r="N62" s="35"/>
      <c r="O62" s="35" t="s">
        <v>398</v>
      </c>
      <c r="P62" s="35"/>
      <c r="Q62" s="35"/>
      <c r="R62" s="35"/>
      <c r="S62" s="39" t="s">
        <v>167</v>
      </c>
      <c r="T62" s="66"/>
    </row>
    <row r="63" spans="2:20">
      <c r="B63" s="35" t="s">
        <v>399</v>
      </c>
      <c r="C63" s="35"/>
      <c r="D63" s="36">
        <v>46031</v>
      </c>
      <c r="E63" s="35" t="s">
        <v>400</v>
      </c>
      <c r="F63" s="35" t="s">
        <v>401</v>
      </c>
      <c r="G63" s="35" t="s">
        <v>402</v>
      </c>
      <c r="H63" s="35" t="s">
        <v>403</v>
      </c>
      <c r="I63" s="35"/>
      <c r="J63" s="35" t="s">
        <v>35</v>
      </c>
      <c r="K63" s="35">
        <v>45</v>
      </c>
      <c r="L63" s="35">
        <v>680050036</v>
      </c>
      <c r="M63" s="35" t="s">
        <v>60</v>
      </c>
      <c r="N63" s="35"/>
      <c r="O63" s="35" t="s">
        <v>404</v>
      </c>
      <c r="P63" s="35"/>
      <c r="Q63" s="35"/>
      <c r="R63" s="35"/>
      <c r="S63" s="39" t="s">
        <v>167</v>
      </c>
      <c r="T63" s="66"/>
    </row>
    <row r="64" spans="2:20">
      <c r="B64" s="35" t="s">
        <v>405</v>
      </c>
      <c r="C64" s="35"/>
      <c r="D64" s="36">
        <v>46031</v>
      </c>
      <c r="E64" s="35" t="s">
        <v>406</v>
      </c>
      <c r="F64" s="35" t="s">
        <v>407</v>
      </c>
      <c r="G64" s="35" t="s">
        <v>142</v>
      </c>
      <c r="H64" s="35"/>
      <c r="I64" s="35" t="s">
        <v>68</v>
      </c>
      <c r="J64" s="35" t="s">
        <v>69</v>
      </c>
      <c r="K64" s="35">
        <v>25</v>
      </c>
      <c r="L64" s="35">
        <v>223209342</v>
      </c>
      <c r="M64" s="35" t="s">
        <v>60</v>
      </c>
      <c r="N64" s="35" t="s">
        <v>408</v>
      </c>
      <c r="O64" s="35" t="s">
        <v>409</v>
      </c>
      <c r="P64" s="52"/>
      <c r="Q64" s="35"/>
      <c r="R64" s="35" t="s">
        <v>27</v>
      </c>
      <c r="S64" s="39" t="s">
        <v>167</v>
      </c>
      <c r="T64" s="66"/>
    </row>
    <row r="65" spans="2:20">
      <c r="B65" s="35" t="s">
        <v>410</v>
      </c>
      <c r="C65" s="35">
        <v>210</v>
      </c>
      <c r="D65" s="36">
        <v>46029</v>
      </c>
      <c r="E65" s="35" t="s">
        <v>411</v>
      </c>
      <c r="F65" s="44" t="s">
        <v>412</v>
      </c>
      <c r="G65" s="35" t="s">
        <v>243</v>
      </c>
      <c r="H65" s="46" t="s">
        <v>413</v>
      </c>
      <c r="I65" s="35" t="s">
        <v>34</v>
      </c>
      <c r="J65" s="35" t="s">
        <v>35</v>
      </c>
      <c r="K65" s="37">
        <v>31</v>
      </c>
      <c r="L65" s="35">
        <v>680397103</v>
      </c>
      <c r="M65" s="35" t="s">
        <v>25</v>
      </c>
      <c r="N65" s="35"/>
      <c r="O65" s="35" t="s">
        <v>414</v>
      </c>
      <c r="P65" s="75">
        <v>2029</v>
      </c>
      <c r="Q65" s="35"/>
      <c r="R65" s="35" t="s">
        <v>27</v>
      </c>
      <c r="S65" s="39" t="s">
        <v>167</v>
      </c>
      <c r="T65" s="66"/>
    </row>
    <row r="66" spans="2:20">
      <c r="B66" s="35" t="s">
        <v>415</v>
      </c>
      <c r="C66" s="35">
        <v>0</v>
      </c>
      <c r="D66" s="36">
        <v>46029</v>
      </c>
      <c r="E66" s="35"/>
      <c r="F66" s="35" t="s">
        <v>416</v>
      </c>
      <c r="G66" s="35" t="s">
        <v>417</v>
      </c>
      <c r="H66" s="35"/>
      <c r="I66" s="35" t="s">
        <v>34</v>
      </c>
      <c r="J66" s="35" t="s">
        <v>35</v>
      </c>
      <c r="K66" s="37">
        <v>0</v>
      </c>
      <c r="L66" s="35">
        <v>770559600</v>
      </c>
      <c r="M66" s="35" t="s">
        <v>25</v>
      </c>
      <c r="N66" s="35"/>
      <c r="O66" s="35" t="s">
        <v>418</v>
      </c>
      <c r="P66" s="75">
        <v>2028</v>
      </c>
      <c r="Q66" s="35"/>
      <c r="R66" s="35" t="s">
        <v>27</v>
      </c>
      <c r="S66" s="39" t="s">
        <v>167</v>
      </c>
      <c r="T66" s="66" t="s">
        <v>419</v>
      </c>
    </row>
    <row r="67" spans="2:20">
      <c r="B67" s="35" t="s">
        <v>420</v>
      </c>
      <c r="C67" s="35"/>
      <c r="D67" s="36">
        <v>46031</v>
      </c>
      <c r="E67" s="35" t="s">
        <v>421</v>
      </c>
      <c r="F67" s="35" t="s">
        <v>422</v>
      </c>
      <c r="G67" s="35" t="s">
        <v>142</v>
      </c>
      <c r="H67" s="35" t="s">
        <v>423</v>
      </c>
      <c r="I67" s="35" t="s">
        <v>249</v>
      </c>
      <c r="J67" s="35" t="s">
        <v>69</v>
      </c>
      <c r="K67" s="35">
        <v>55</v>
      </c>
      <c r="L67" s="35">
        <v>270729341</v>
      </c>
      <c r="M67" s="35" t="s">
        <v>60</v>
      </c>
      <c r="N67" s="35" t="s">
        <v>424</v>
      </c>
      <c r="O67" s="35" t="s">
        <v>425</v>
      </c>
      <c r="P67" s="52"/>
      <c r="Q67" s="35"/>
      <c r="R67" s="35" t="s">
        <v>27</v>
      </c>
      <c r="S67" s="39" t="s">
        <v>167</v>
      </c>
      <c r="T67" s="66"/>
    </row>
    <row r="68" spans="2:20">
      <c r="B68" s="37" t="s">
        <v>426</v>
      </c>
      <c r="C68" s="37"/>
      <c r="D68" s="36">
        <v>46027</v>
      </c>
      <c r="E68" s="37" t="s">
        <v>427</v>
      </c>
      <c r="F68" s="37" t="s">
        <v>428</v>
      </c>
      <c r="G68" s="37" t="s">
        <v>22</v>
      </c>
      <c r="H68" s="37"/>
      <c r="I68" s="37" t="s">
        <v>105</v>
      </c>
      <c r="J68" s="37">
        <v>0</v>
      </c>
      <c r="K68" s="37"/>
      <c r="L68" s="35"/>
      <c r="M68" s="37"/>
      <c r="N68" s="37" t="s">
        <v>429</v>
      </c>
      <c r="O68" s="37" t="s">
        <v>430</v>
      </c>
      <c r="P68" s="53"/>
      <c r="Q68" s="37" t="s">
        <v>27</v>
      </c>
      <c r="R68" s="39"/>
      <c r="S68" s="39" t="s">
        <v>167</v>
      </c>
      <c r="T68" s="48"/>
    </row>
    <row r="69" spans="2:20">
      <c r="B69" s="47" t="s">
        <v>431</v>
      </c>
      <c r="C69" s="47" t="e">
        <f>_xlfn.XLOOKUP(Table1[[#This Row],[EIN]],Sheet5!#REF!,Sheet5!#REF!)</f>
        <v>#REF!</v>
      </c>
      <c r="D69" s="36">
        <v>46027</v>
      </c>
      <c r="E69" s="37" t="s">
        <v>432</v>
      </c>
      <c r="F69" s="37" t="s">
        <v>433</v>
      </c>
      <c r="G69" s="37" t="s">
        <v>434</v>
      </c>
      <c r="H69" s="37"/>
      <c r="I69" s="37" t="s">
        <v>34</v>
      </c>
      <c r="J69" s="37" t="s">
        <v>35</v>
      </c>
      <c r="K69" s="37">
        <v>126</v>
      </c>
      <c r="L69" s="37">
        <v>954292101</v>
      </c>
      <c r="M69" s="37" t="s">
        <v>42</v>
      </c>
      <c r="N69" s="37" t="s">
        <v>435</v>
      </c>
      <c r="O69" s="37" t="s">
        <v>436</v>
      </c>
      <c r="P69" s="53"/>
      <c r="Q69" s="37" t="s">
        <v>27</v>
      </c>
      <c r="R69" s="37"/>
      <c r="S69" s="37" t="s">
        <v>167</v>
      </c>
      <c r="T69" s="49"/>
    </row>
    <row r="70" spans="2:20">
      <c r="B70" s="35" t="s">
        <v>437</v>
      </c>
      <c r="C70" s="35" t="e">
        <f>_xlfn.XLOOKUP(Table1[[#This Row],[EIN]],Sheet5!#REF!,Sheet5!#REF!)</f>
        <v>#REF!</v>
      </c>
      <c r="D70" s="36">
        <v>46029</v>
      </c>
      <c r="E70" s="35" t="s">
        <v>438</v>
      </c>
      <c r="F70" s="35" t="s">
        <v>433</v>
      </c>
      <c r="G70" s="35" t="s">
        <v>439</v>
      </c>
      <c r="H70" s="35" t="s">
        <v>440</v>
      </c>
      <c r="I70" s="35" t="s">
        <v>34</v>
      </c>
      <c r="J70" s="35" t="s">
        <v>35</v>
      </c>
      <c r="K70" s="35">
        <v>126</v>
      </c>
      <c r="L70" s="35">
        <v>954292101</v>
      </c>
      <c r="M70" s="35" t="s">
        <v>60</v>
      </c>
      <c r="N70" s="35"/>
      <c r="O70" s="35" t="s">
        <v>441</v>
      </c>
      <c r="P70" s="52"/>
      <c r="Q70" s="35"/>
      <c r="R70" s="35"/>
      <c r="S70" s="39" t="s">
        <v>167</v>
      </c>
      <c r="T70" s="66"/>
    </row>
    <row r="71" spans="2:20">
      <c r="B71" s="35" t="s">
        <v>442</v>
      </c>
      <c r="C71" s="35"/>
      <c r="D71" s="36">
        <v>46031</v>
      </c>
      <c r="E71" s="35" t="s">
        <v>443</v>
      </c>
      <c r="F71" s="35" t="s">
        <v>444</v>
      </c>
      <c r="G71" s="35" t="s">
        <v>402</v>
      </c>
      <c r="H71" s="35"/>
      <c r="I71" s="35"/>
      <c r="J71" s="35" t="s">
        <v>114</v>
      </c>
      <c r="K71" s="35"/>
      <c r="L71" s="35">
        <v>742568941</v>
      </c>
      <c r="M71" s="35" t="s">
        <v>60</v>
      </c>
      <c r="N71" s="35"/>
      <c r="O71" s="35" t="s">
        <v>445</v>
      </c>
      <c r="P71" s="35"/>
      <c r="Q71" s="35"/>
      <c r="R71" s="35"/>
      <c r="S71" s="39" t="s">
        <v>167</v>
      </c>
      <c r="T71" s="66"/>
    </row>
    <row r="72" spans="2:20">
      <c r="B72" s="35" t="s">
        <v>446</v>
      </c>
      <c r="C72" s="35" t="e">
        <f>_xlfn.XLOOKUP(Table1[[#This Row],[EIN]],Sheet5!#REF!,Sheet5!#REF!)</f>
        <v>#REF!</v>
      </c>
      <c r="D72" s="36">
        <v>46031</v>
      </c>
      <c r="E72" s="35" t="s">
        <v>447</v>
      </c>
      <c r="F72" s="35" t="s">
        <v>448</v>
      </c>
      <c r="G72" s="35" t="s">
        <v>274</v>
      </c>
      <c r="H72" s="35" t="s">
        <v>449</v>
      </c>
      <c r="I72" s="35" t="s">
        <v>249</v>
      </c>
      <c r="J72" s="35" t="e">
        <v>#N/A</v>
      </c>
      <c r="K72" s="35">
        <v>26</v>
      </c>
      <c r="L72" s="35">
        <v>133647019</v>
      </c>
      <c r="M72" s="35" t="s">
        <v>60</v>
      </c>
      <c r="N72" s="35"/>
      <c r="O72" s="35" t="s">
        <v>450</v>
      </c>
      <c r="P72" s="35"/>
      <c r="Q72" s="35"/>
      <c r="R72" s="35"/>
      <c r="S72" s="39" t="s">
        <v>167</v>
      </c>
      <c r="T72" s="66"/>
    </row>
    <row r="73" spans="2:20">
      <c r="B73" s="35" t="s">
        <v>451</v>
      </c>
      <c r="C73" s="35" t="e">
        <f>_xlfn.XLOOKUP(Table1[[#This Row],[EIN]],Sheet5!#REF!,Sheet5!#REF!)</f>
        <v>#REF!</v>
      </c>
      <c r="D73" s="36">
        <v>46029</v>
      </c>
      <c r="E73" s="35" t="s">
        <v>452</v>
      </c>
      <c r="F73" s="35" t="s">
        <v>453</v>
      </c>
      <c r="G73" s="35" t="s">
        <v>22</v>
      </c>
      <c r="H73" s="35" t="s">
        <v>454</v>
      </c>
      <c r="I73" s="35" t="s">
        <v>336</v>
      </c>
      <c r="J73" s="35" t="s">
        <v>35</v>
      </c>
      <c r="K73" s="35">
        <v>171</v>
      </c>
      <c r="L73" s="35">
        <v>936026156</v>
      </c>
      <c r="M73" s="35" t="s">
        <v>60</v>
      </c>
      <c r="N73" s="35"/>
      <c r="O73" s="35" t="s">
        <v>455</v>
      </c>
      <c r="P73" s="35"/>
      <c r="Q73" s="35"/>
      <c r="R73" s="35"/>
      <c r="S73" s="39" t="s">
        <v>167</v>
      </c>
      <c r="T73" s="66"/>
    </row>
    <row r="74" spans="2:20">
      <c r="B74" s="35" t="s">
        <v>456</v>
      </c>
      <c r="C74" s="35" t="e">
        <f>_xlfn.XLOOKUP(Table1[[#This Row],[EIN]],Sheet5!#REF!,Sheet5!#REF!)</f>
        <v>#REF!</v>
      </c>
      <c r="D74" s="36">
        <v>46029</v>
      </c>
      <c r="E74" s="35" t="s">
        <v>457</v>
      </c>
      <c r="F74" s="35" t="s">
        <v>458</v>
      </c>
      <c r="G74" s="35" t="s">
        <v>51</v>
      </c>
      <c r="H74" s="35" t="s">
        <v>459</v>
      </c>
      <c r="I74" s="35" t="s">
        <v>52</v>
      </c>
      <c r="J74" s="35" t="e">
        <v>#N/A</v>
      </c>
      <c r="K74" s="35">
        <v>41</v>
      </c>
      <c r="L74" s="35">
        <v>346519769</v>
      </c>
      <c r="M74" s="35" t="s">
        <v>60</v>
      </c>
      <c r="N74" s="35"/>
      <c r="O74" s="35" t="s">
        <v>460</v>
      </c>
      <c r="P74" s="35"/>
      <c r="Q74" s="35"/>
      <c r="R74" s="35"/>
      <c r="S74" s="39" t="s">
        <v>167</v>
      </c>
      <c r="T74" s="66"/>
    </row>
    <row r="75" spans="2:20">
      <c r="B75" s="35" t="s">
        <v>461</v>
      </c>
      <c r="C75" s="35" t="e">
        <f>_xlfn.XLOOKUP(Table1[[#This Row],[EIN]],Sheet5!#REF!,Sheet5!#REF!)</f>
        <v>#REF!</v>
      </c>
      <c r="D75" s="36">
        <v>46029</v>
      </c>
      <c r="E75" s="35" t="s">
        <v>462</v>
      </c>
      <c r="F75" s="35" t="s">
        <v>463</v>
      </c>
      <c r="G75" s="35" t="s">
        <v>464</v>
      </c>
      <c r="H75" s="35" t="s">
        <v>465</v>
      </c>
      <c r="I75" s="35" t="s">
        <v>219</v>
      </c>
      <c r="J75" s="35" t="e">
        <v>#N/A</v>
      </c>
      <c r="K75" s="35">
        <v>85</v>
      </c>
      <c r="L75" s="35">
        <v>251721100</v>
      </c>
      <c r="M75" s="35" t="s">
        <v>60</v>
      </c>
      <c r="N75" s="35"/>
      <c r="O75" s="35" t="s">
        <v>466</v>
      </c>
      <c r="P75" s="35"/>
      <c r="Q75" s="35"/>
      <c r="R75" s="35"/>
      <c r="S75" s="39" t="s">
        <v>167</v>
      </c>
      <c r="T75" s="66"/>
    </row>
    <row r="76" spans="2:20">
      <c r="B76" s="35" t="s">
        <v>467</v>
      </c>
      <c r="C76" s="35" t="e">
        <f>_xlfn.XLOOKUP(Table1[[#This Row],[EIN]],Sheet5!#REF!,Sheet5!#REF!)</f>
        <v>#REF!</v>
      </c>
      <c r="D76" s="36">
        <v>46029</v>
      </c>
      <c r="E76" s="35" t="s">
        <v>468</v>
      </c>
      <c r="F76" s="35" t="s">
        <v>469</v>
      </c>
      <c r="G76" s="35" t="s">
        <v>274</v>
      </c>
      <c r="H76" s="35" t="s">
        <v>470</v>
      </c>
      <c r="I76" s="35" t="s">
        <v>34</v>
      </c>
      <c r="J76" s="35" t="s">
        <v>35</v>
      </c>
      <c r="K76" s="35">
        <v>109</v>
      </c>
      <c r="L76" s="35">
        <v>941236937</v>
      </c>
      <c r="M76" s="35" t="s">
        <v>60</v>
      </c>
      <c r="N76" s="35"/>
      <c r="O76" s="35" t="s">
        <v>471</v>
      </c>
      <c r="P76" s="35"/>
      <c r="Q76" s="35"/>
      <c r="R76" s="35"/>
      <c r="S76" s="39" t="s">
        <v>167</v>
      </c>
      <c r="T76" s="66"/>
    </row>
    <row r="77" spans="2:20">
      <c r="B77" s="35" t="s">
        <v>472</v>
      </c>
      <c r="C77" s="35" t="e">
        <f>_xlfn.XLOOKUP(Table1[[#This Row],[EIN]],Sheet5!#REF!,Sheet5!#REF!)</f>
        <v>#REF!</v>
      </c>
      <c r="D77" s="36">
        <v>46031</v>
      </c>
      <c r="E77" s="35" t="s">
        <v>473</v>
      </c>
      <c r="F77" s="35" t="s">
        <v>474</v>
      </c>
      <c r="G77" s="35" t="s">
        <v>22</v>
      </c>
      <c r="H77" s="35"/>
      <c r="I77" s="35" t="s">
        <v>204</v>
      </c>
      <c r="J77" s="35" t="e">
        <v>#N/A</v>
      </c>
      <c r="K77" s="35">
        <v>111</v>
      </c>
      <c r="L77" s="35">
        <v>410754835</v>
      </c>
      <c r="M77" s="35" t="s">
        <v>60</v>
      </c>
      <c r="N77" s="35"/>
      <c r="O77" s="35" t="s">
        <v>475</v>
      </c>
      <c r="P77" s="35"/>
      <c r="Q77" s="35"/>
      <c r="R77" s="35"/>
      <c r="S77" s="39" t="s">
        <v>167</v>
      </c>
      <c r="T77" s="66"/>
    </row>
    <row r="78" spans="2:20">
      <c r="B78" s="35" t="s">
        <v>476</v>
      </c>
      <c r="C78" s="35" t="e">
        <f>_xlfn.XLOOKUP(Table1[[#This Row],[EIN]],Sheet5!#REF!,Sheet5!#REF!)</f>
        <v>#REF!</v>
      </c>
      <c r="D78" s="36">
        <v>46031</v>
      </c>
      <c r="E78" s="35" t="s">
        <v>477</v>
      </c>
      <c r="F78" s="35" t="s">
        <v>478</v>
      </c>
      <c r="G78" s="35" t="s">
        <v>479</v>
      </c>
      <c r="H78" s="35" t="s">
        <v>480</v>
      </c>
      <c r="I78" s="35" t="s">
        <v>52</v>
      </c>
      <c r="J78" s="35" t="e">
        <v>#N/A</v>
      </c>
      <c r="K78" s="35">
        <v>41</v>
      </c>
      <c r="L78" s="35">
        <v>341595929</v>
      </c>
      <c r="M78" s="35" t="s">
        <v>60</v>
      </c>
      <c r="N78" s="35"/>
      <c r="O78" s="35" t="s">
        <v>481</v>
      </c>
      <c r="P78" s="35"/>
      <c r="Q78" s="35"/>
      <c r="R78" s="35"/>
      <c r="S78" s="39" t="s">
        <v>167</v>
      </c>
      <c r="T78" s="66"/>
    </row>
    <row r="79" spans="2:20">
      <c r="B79" s="35" t="s">
        <v>482</v>
      </c>
      <c r="C79" s="35" t="e">
        <f>_xlfn.XLOOKUP(Table1[[#This Row],[EIN]],Sheet5!#REF!,Sheet5!#REF!)</f>
        <v>#REF!</v>
      </c>
      <c r="D79" s="36">
        <v>46029</v>
      </c>
      <c r="E79" s="35" t="s">
        <v>483</v>
      </c>
      <c r="F79" s="35" t="s">
        <v>484</v>
      </c>
      <c r="G79" s="35" t="s">
        <v>142</v>
      </c>
      <c r="H79" s="35" t="s">
        <v>485</v>
      </c>
      <c r="I79" s="35" t="s">
        <v>219</v>
      </c>
      <c r="J79" s="35" t="e">
        <v>#N/A</v>
      </c>
      <c r="K79" s="35">
        <v>24</v>
      </c>
      <c r="L79" s="35">
        <v>237839035</v>
      </c>
      <c r="M79" s="35" t="s">
        <v>60</v>
      </c>
      <c r="N79" s="35"/>
      <c r="O79" s="35" t="s">
        <v>486</v>
      </c>
      <c r="P79" s="35"/>
      <c r="Q79" s="35"/>
      <c r="R79" s="35"/>
      <c r="S79" s="39" t="s">
        <v>167</v>
      </c>
      <c r="T79" s="66"/>
    </row>
    <row r="80" spans="2:20" ht="15.75">
      <c r="B80" s="41" t="s">
        <v>487</v>
      </c>
      <c r="C80" s="41" t="e">
        <f>_xlfn.XLOOKUP(Table1[[#This Row],[EIN]],Sheet5!#REF!,Sheet5!#REF!)</f>
        <v>#REF!</v>
      </c>
      <c r="D80" s="36">
        <v>46027</v>
      </c>
      <c r="E80" s="37" t="s">
        <v>488</v>
      </c>
      <c r="F80" s="37" t="s">
        <v>489</v>
      </c>
      <c r="G80" s="37" t="s">
        <v>142</v>
      </c>
      <c r="H80" s="40" t="s">
        <v>490</v>
      </c>
      <c r="I80" s="41" t="s">
        <v>143</v>
      </c>
      <c r="J80" s="41" t="s">
        <v>35</v>
      </c>
      <c r="K80" s="41">
        <v>32</v>
      </c>
      <c r="L80" s="41">
        <v>911501066</v>
      </c>
      <c r="M80" s="41" t="s">
        <v>42</v>
      </c>
      <c r="N80" s="42"/>
      <c r="O80" s="37" t="s">
        <v>491</v>
      </c>
      <c r="P80" s="37"/>
      <c r="Q80" s="43"/>
      <c r="R80" s="37"/>
      <c r="S80" s="37" t="s">
        <v>167</v>
      </c>
      <c r="T80" s="49"/>
    </row>
    <row r="81" spans="2:20">
      <c r="B81" s="35" t="s">
        <v>492</v>
      </c>
      <c r="C81" s="35"/>
      <c r="D81" s="36">
        <v>46031</v>
      </c>
      <c r="E81" s="35" t="s">
        <v>493</v>
      </c>
      <c r="F81" s="35" t="s">
        <v>494</v>
      </c>
      <c r="G81" s="35" t="s">
        <v>142</v>
      </c>
      <c r="H81" s="35" t="s">
        <v>495</v>
      </c>
      <c r="I81" s="35" t="s">
        <v>68</v>
      </c>
      <c r="J81" s="35" t="s">
        <v>69</v>
      </c>
      <c r="K81" s="35">
        <v>18</v>
      </c>
      <c r="L81" s="35">
        <v>311591261</v>
      </c>
      <c r="M81" s="35" t="s">
        <v>60</v>
      </c>
      <c r="N81" s="35" t="s">
        <v>496</v>
      </c>
      <c r="O81" s="35" t="s">
        <v>497</v>
      </c>
      <c r="P81" s="35"/>
      <c r="Q81" s="35"/>
      <c r="R81" s="35" t="s">
        <v>27</v>
      </c>
      <c r="S81" s="39" t="s">
        <v>167</v>
      </c>
      <c r="T81" s="66"/>
    </row>
    <row r="82" spans="2:20">
      <c r="B82" s="35" t="s">
        <v>498</v>
      </c>
      <c r="C82" s="35" t="e">
        <f>_xlfn.XLOOKUP(Table1[[#This Row],[EIN]],Sheet5!#REF!,Sheet5!#REF!)</f>
        <v>#REF!</v>
      </c>
      <c r="D82" s="36">
        <v>46031</v>
      </c>
      <c r="E82" s="35" t="s">
        <v>499</v>
      </c>
      <c r="F82" s="35" t="s">
        <v>500</v>
      </c>
      <c r="G82" s="35" t="s">
        <v>142</v>
      </c>
      <c r="H82" s="35" t="s">
        <v>501</v>
      </c>
      <c r="I82" s="35" t="s">
        <v>219</v>
      </c>
      <c r="J82" s="35" t="e">
        <v>#N/A</v>
      </c>
      <c r="K82" s="35">
        <v>127</v>
      </c>
      <c r="L82" s="35">
        <v>231503488</v>
      </c>
      <c r="M82" s="35" t="s">
        <v>60</v>
      </c>
      <c r="N82" s="35"/>
      <c r="O82" s="35" t="s">
        <v>502</v>
      </c>
      <c r="P82" s="35"/>
      <c r="Q82" s="35"/>
      <c r="R82" s="35"/>
      <c r="S82" s="39" t="s">
        <v>167</v>
      </c>
      <c r="T82" s="66"/>
    </row>
    <row r="83" spans="2:20">
      <c r="B83" s="37" t="s">
        <v>503</v>
      </c>
      <c r="C83" s="37"/>
      <c r="D83" s="36">
        <v>46027</v>
      </c>
      <c r="E83" s="37" t="s">
        <v>504</v>
      </c>
      <c r="F83" s="37" t="s">
        <v>505</v>
      </c>
      <c r="G83" s="37" t="s">
        <v>243</v>
      </c>
      <c r="H83" s="37"/>
      <c r="I83" s="37" t="s">
        <v>34</v>
      </c>
      <c r="J83" s="37" t="e">
        <v>#N/A</v>
      </c>
      <c r="K83" s="37"/>
      <c r="L83" s="35"/>
      <c r="M83" s="37"/>
      <c r="N83" s="37"/>
      <c r="O83" s="37" t="s">
        <v>506</v>
      </c>
      <c r="P83" s="37"/>
      <c r="Q83" s="37" t="s">
        <v>36</v>
      </c>
      <c r="R83" s="37" t="s">
        <v>166</v>
      </c>
      <c r="S83" s="37" t="s">
        <v>167</v>
      </c>
      <c r="T83" s="49"/>
    </row>
    <row r="84" spans="2:20">
      <c r="B84" s="37" t="s">
        <v>507</v>
      </c>
      <c r="C84" s="37"/>
      <c r="D84" s="36">
        <v>46027</v>
      </c>
      <c r="E84" s="37" t="s">
        <v>508</v>
      </c>
      <c r="F84" s="37" t="s">
        <v>509</v>
      </c>
      <c r="G84" s="37" t="s">
        <v>142</v>
      </c>
      <c r="H84" s="37"/>
      <c r="I84" s="37" t="s">
        <v>510</v>
      </c>
      <c r="J84" s="37">
        <v>0</v>
      </c>
      <c r="K84" s="37"/>
      <c r="L84" s="35"/>
      <c r="M84" s="37"/>
      <c r="N84" s="37"/>
      <c r="O84" s="37"/>
      <c r="P84" s="37"/>
      <c r="Q84" s="37" t="s">
        <v>511</v>
      </c>
      <c r="R84" s="37" t="s">
        <v>166</v>
      </c>
      <c r="S84" s="37" t="s">
        <v>167</v>
      </c>
      <c r="T84" s="49" t="s">
        <v>512</v>
      </c>
    </row>
    <row r="85" spans="2:20">
      <c r="B85" s="37" t="s">
        <v>513</v>
      </c>
      <c r="C85" s="37" t="e">
        <f>_xlfn.XLOOKUP(Table1[[#This Row],[EIN]],Sheet5!#REF!,Sheet5!#REF!)</f>
        <v>#REF!</v>
      </c>
      <c r="D85" s="36">
        <v>46027</v>
      </c>
      <c r="E85" s="37" t="s">
        <v>514</v>
      </c>
      <c r="F85" s="37" t="s">
        <v>515</v>
      </c>
      <c r="G85" s="37" t="s">
        <v>516</v>
      </c>
      <c r="H85" s="46" t="s">
        <v>517</v>
      </c>
      <c r="I85" s="37" t="s">
        <v>34</v>
      </c>
      <c r="J85" s="37" t="s">
        <v>35</v>
      </c>
      <c r="K85" s="37">
        <v>61</v>
      </c>
      <c r="L85" s="37">
        <v>956054814</v>
      </c>
      <c r="M85" s="37" t="s">
        <v>42</v>
      </c>
      <c r="N85" s="37" t="s">
        <v>518</v>
      </c>
      <c r="O85" s="37"/>
      <c r="P85" s="37"/>
      <c r="Q85" s="37" t="s">
        <v>27</v>
      </c>
      <c r="R85" s="39"/>
      <c r="S85" s="39" t="s">
        <v>167</v>
      </c>
      <c r="T85" s="48"/>
    </row>
    <row r="86" spans="2:20">
      <c r="B86" s="35" t="s">
        <v>519</v>
      </c>
      <c r="C86" s="35"/>
      <c r="D86" s="36">
        <v>46031</v>
      </c>
      <c r="E86" s="35" t="s">
        <v>520</v>
      </c>
      <c r="F86" s="35" t="s">
        <v>521</v>
      </c>
      <c r="G86" s="35" t="s">
        <v>142</v>
      </c>
      <c r="H86" s="35"/>
      <c r="I86" s="35" t="s">
        <v>522</v>
      </c>
      <c r="J86" s="35" t="s">
        <v>69</v>
      </c>
      <c r="K86" s="35">
        <v>87</v>
      </c>
      <c r="L86" s="35">
        <v>626026442</v>
      </c>
      <c r="M86" s="35" t="s">
        <v>60</v>
      </c>
      <c r="N86" s="35" t="s">
        <v>523</v>
      </c>
      <c r="O86" s="35" t="s">
        <v>524</v>
      </c>
      <c r="P86" s="35"/>
      <c r="Q86" s="35"/>
      <c r="R86" s="35" t="s">
        <v>27</v>
      </c>
      <c r="S86" s="39" t="s">
        <v>167</v>
      </c>
      <c r="T86" s="66"/>
    </row>
    <row r="87" spans="2:20">
      <c r="B87" s="35" t="s">
        <v>525</v>
      </c>
      <c r="C87" s="35"/>
      <c r="D87" s="34">
        <v>46027</v>
      </c>
      <c r="E87" s="35" t="s">
        <v>526</v>
      </c>
      <c r="F87" s="35" t="s">
        <v>527</v>
      </c>
      <c r="G87" s="35" t="s">
        <v>197</v>
      </c>
      <c r="H87" s="35"/>
      <c r="I87" s="35" t="s">
        <v>68</v>
      </c>
      <c r="J87" s="35" t="e">
        <v>#N/A</v>
      </c>
      <c r="K87" s="35">
        <v>0</v>
      </c>
      <c r="L87" s="35"/>
      <c r="M87" s="35"/>
      <c r="N87" s="35"/>
      <c r="O87" s="35" t="s">
        <v>528</v>
      </c>
      <c r="P87" s="35"/>
      <c r="Q87" s="35" t="s">
        <v>44</v>
      </c>
      <c r="R87" s="35" t="s">
        <v>45</v>
      </c>
      <c r="S87" s="35" t="s">
        <v>529</v>
      </c>
      <c r="T87" s="66" t="s">
        <v>530</v>
      </c>
    </row>
    <row r="88" spans="2:20">
      <c r="B88" s="37" t="s">
        <v>531</v>
      </c>
      <c r="C88" s="37"/>
      <c r="D88" s="36">
        <v>46027</v>
      </c>
      <c r="E88" s="37" t="s">
        <v>532</v>
      </c>
      <c r="F88" s="37" t="s">
        <v>533</v>
      </c>
      <c r="G88" s="37" t="s">
        <v>274</v>
      </c>
      <c r="H88" s="37"/>
      <c r="I88" s="37" t="s">
        <v>534</v>
      </c>
      <c r="J88" s="37" t="e">
        <v>#N/A</v>
      </c>
      <c r="K88" s="37">
        <v>0</v>
      </c>
      <c r="L88" s="35"/>
      <c r="M88" s="37"/>
      <c r="N88" s="37"/>
      <c r="O88" s="37" t="s">
        <v>535</v>
      </c>
      <c r="P88" s="37"/>
      <c r="Q88" s="37" t="s">
        <v>36</v>
      </c>
      <c r="R88" s="37" t="s">
        <v>245</v>
      </c>
      <c r="S88" s="35" t="s">
        <v>529</v>
      </c>
      <c r="T88" s="49" t="s">
        <v>536</v>
      </c>
    </row>
    <row r="89" spans="2:20">
      <c r="B89" s="35" t="s">
        <v>537</v>
      </c>
      <c r="C89" s="35"/>
      <c r="D89" s="34">
        <v>46027</v>
      </c>
      <c r="E89" s="35" t="s">
        <v>538</v>
      </c>
      <c r="F89" s="35" t="s">
        <v>539</v>
      </c>
      <c r="G89" s="35" t="s">
        <v>540</v>
      </c>
      <c r="H89" s="35"/>
      <c r="I89" s="35" t="s">
        <v>541</v>
      </c>
      <c r="J89" s="35" t="e">
        <v>#N/A</v>
      </c>
      <c r="K89" s="35">
        <v>0</v>
      </c>
      <c r="L89" s="35"/>
      <c r="M89" s="35"/>
      <c r="N89" s="35"/>
      <c r="O89" s="35" t="s">
        <v>542</v>
      </c>
      <c r="P89" s="35"/>
      <c r="Q89" s="35" t="s">
        <v>44</v>
      </c>
      <c r="R89" s="35" t="s">
        <v>45</v>
      </c>
      <c r="S89" s="35" t="s">
        <v>529</v>
      </c>
      <c r="T89" s="66" t="s">
        <v>543</v>
      </c>
    </row>
    <row r="90" spans="2:20">
      <c r="B90" s="35" t="s">
        <v>544</v>
      </c>
      <c r="C90" s="35"/>
      <c r="D90" s="34">
        <v>46027</v>
      </c>
      <c r="E90" s="35" t="s">
        <v>545</v>
      </c>
      <c r="F90" s="35" t="s">
        <v>546</v>
      </c>
      <c r="G90" s="35" t="s">
        <v>547</v>
      </c>
      <c r="H90" s="35"/>
      <c r="I90" s="35" t="s">
        <v>548</v>
      </c>
      <c r="J90" s="35" t="e">
        <v>#N/A</v>
      </c>
      <c r="K90" s="35">
        <v>0</v>
      </c>
      <c r="L90" s="35"/>
      <c r="M90" s="35"/>
      <c r="N90" s="35"/>
      <c r="O90" s="35" t="s">
        <v>549</v>
      </c>
      <c r="P90" s="35"/>
      <c r="Q90" s="35" t="s">
        <v>44</v>
      </c>
      <c r="R90" s="35" t="s">
        <v>45</v>
      </c>
      <c r="S90" s="35" t="s">
        <v>529</v>
      </c>
      <c r="T90" s="66"/>
    </row>
    <row r="91" spans="2:20">
      <c r="B91" s="37" t="s">
        <v>550</v>
      </c>
      <c r="C91" s="37"/>
      <c r="D91" s="36">
        <v>46027</v>
      </c>
      <c r="E91" s="37" t="s">
        <v>551</v>
      </c>
      <c r="F91" s="37" t="s">
        <v>552</v>
      </c>
      <c r="G91" s="37" t="s">
        <v>243</v>
      </c>
      <c r="H91" s="37"/>
      <c r="I91" s="37" t="s">
        <v>34</v>
      </c>
      <c r="J91" s="37">
        <v>0</v>
      </c>
      <c r="K91" s="37">
        <v>0</v>
      </c>
      <c r="L91" s="35"/>
      <c r="M91" s="37"/>
      <c r="N91" s="37"/>
      <c r="O91" s="37" t="s">
        <v>553</v>
      </c>
      <c r="P91" s="37"/>
      <c r="Q91" s="37" t="s">
        <v>36</v>
      </c>
      <c r="R91" s="37" t="s">
        <v>554</v>
      </c>
      <c r="S91" s="37" t="s">
        <v>529</v>
      </c>
      <c r="T91" s="49"/>
    </row>
    <row r="92" spans="2:20">
      <c r="B92" s="35" t="s">
        <v>555</v>
      </c>
      <c r="C92" s="35" t="e">
        <f>_xlfn.XLOOKUP(Table1[[#This Row],[EIN]],Sheet5!#REF!,Sheet5!#REF!)</f>
        <v>#REF!</v>
      </c>
      <c r="D92" s="36">
        <v>46029</v>
      </c>
      <c r="E92" s="35" t="s">
        <v>556</v>
      </c>
      <c r="F92" s="35" t="s">
        <v>557</v>
      </c>
      <c r="G92" s="35" t="s">
        <v>558</v>
      </c>
      <c r="H92" s="35" t="s">
        <v>559</v>
      </c>
      <c r="I92" s="35" t="s">
        <v>534</v>
      </c>
      <c r="J92" s="35" t="e">
        <v>#N/A</v>
      </c>
      <c r="K92" s="35">
        <v>140</v>
      </c>
      <c r="L92" s="35">
        <v>830590696</v>
      </c>
      <c r="M92" s="35" t="s">
        <v>60</v>
      </c>
      <c r="N92" s="35"/>
      <c r="O92" s="35" t="s">
        <v>560</v>
      </c>
      <c r="P92" s="35"/>
      <c r="Q92" s="35"/>
      <c r="R92" s="35"/>
      <c r="S92" s="39" t="s">
        <v>529</v>
      </c>
      <c r="T92" s="66" t="s">
        <v>561</v>
      </c>
    </row>
    <row r="93" spans="2:20">
      <c r="B93" s="35" t="s">
        <v>562</v>
      </c>
      <c r="C93" s="35" t="e">
        <f>_xlfn.XLOOKUP(Table1[[#This Row],[EIN]],Sheet5!#REF!,Sheet5!#REF!)</f>
        <v>#REF!</v>
      </c>
      <c r="D93" s="36"/>
      <c r="E93" s="35" t="s">
        <v>563</v>
      </c>
      <c r="F93" s="35" t="s">
        <v>564</v>
      </c>
      <c r="G93" s="35" t="s">
        <v>142</v>
      </c>
      <c r="H93" s="35" t="s">
        <v>565</v>
      </c>
      <c r="I93" s="35" t="s">
        <v>566</v>
      </c>
      <c r="J93" s="35" t="e">
        <v>#N/A</v>
      </c>
      <c r="K93" s="35">
        <v>58</v>
      </c>
      <c r="L93" s="35">
        <v>10387404</v>
      </c>
      <c r="M93" s="35" t="s">
        <v>60</v>
      </c>
      <c r="N93" s="35"/>
      <c r="O93" s="35" t="s">
        <v>567</v>
      </c>
      <c r="P93" s="35"/>
      <c r="Q93" s="35"/>
      <c r="R93" s="35"/>
      <c r="S93" s="39" t="s">
        <v>529</v>
      </c>
      <c r="T93" s="66" t="s">
        <v>568</v>
      </c>
    </row>
    <row r="94" spans="2:20">
      <c r="B94" s="35" t="s">
        <v>569</v>
      </c>
      <c r="C94" s="35"/>
      <c r="D94" s="34">
        <v>46027</v>
      </c>
      <c r="E94" s="35" t="s">
        <v>570</v>
      </c>
      <c r="F94" s="35" t="s">
        <v>571</v>
      </c>
      <c r="G94" s="35" t="s">
        <v>572</v>
      </c>
      <c r="H94" s="35"/>
      <c r="I94" s="35" t="s">
        <v>301</v>
      </c>
      <c r="J94" s="35" t="e">
        <v>#N/A</v>
      </c>
      <c r="K94" s="35">
        <v>0</v>
      </c>
      <c r="L94" s="35"/>
      <c r="M94" s="35"/>
      <c r="N94" s="35"/>
      <c r="O94" s="35" t="s">
        <v>573</v>
      </c>
      <c r="P94" s="35"/>
      <c r="Q94" s="35" t="s">
        <v>44</v>
      </c>
      <c r="R94" s="35" t="s">
        <v>45</v>
      </c>
      <c r="S94" s="35" t="s">
        <v>529</v>
      </c>
      <c r="T94" s="66"/>
    </row>
    <row r="95" spans="2:20">
      <c r="B95" s="35" t="s">
        <v>574</v>
      </c>
      <c r="C95" s="35"/>
      <c r="D95" s="34">
        <v>46027</v>
      </c>
      <c r="E95" s="35" t="s">
        <v>575</v>
      </c>
      <c r="F95" s="35" t="s">
        <v>576</v>
      </c>
      <c r="G95" s="35" t="s">
        <v>577</v>
      </c>
      <c r="H95" s="35"/>
      <c r="I95" s="35" t="s">
        <v>301</v>
      </c>
      <c r="J95" s="35" t="e">
        <v>#N/A</v>
      </c>
      <c r="K95" s="35">
        <v>0</v>
      </c>
      <c r="L95" s="35"/>
      <c r="M95" s="35"/>
      <c r="N95" s="35"/>
      <c r="O95" s="35" t="s">
        <v>578</v>
      </c>
      <c r="P95" s="35"/>
      <c r="Q95" s="35" t="s">
        <v>44</v>
      </c>
      <c r="R95" s="35" t="s">
        <v>45</v>
      </c>
      <c r="S95" s="35" t="s">
        <v>529</v>
      </c>
      <c r="T95" s="66"/>
    </row>
    <row r="96" spans="2:20">
      <c r="B96" s="35" t="s">
        <v>579</v>
      </c>
      <c r="C96" s="35"/>
      <c r="D96" s="34">
        <v>46027</v>
      </c>
      <c r="E96" s="35" t="s">
        <v>580</v>
      </c>
      <c r="F96" s="35" t="s">
        <v>581</v>
      </c>
      <c r="G96" s="35" t="s">
        <v>582</v>
      </c>
      <c r="H96" s="35"/>
      <c r="I96" s="35" t="s">
        <v>219</v>
      </c>
      <c r="J96" s="35" t="e">
        <v>#N/A</v>
      </c>
      <c r="K96" s="35">
        <v>0</v>
      </c>
      <c r="L96" s="35"/>
      <c r="M96" s="35"/>
      <c r="N96" s="35"/>
      <c r="O96" s="35" t="s">
        <v>583</v>
      </c>
      <c r="P96" s="35"/>
      <c r="Q96" s="35" t="s">
        <v>44</v>
      </c>
      <c r="R96" s="35" t="s">
        <v>45</v>
      </c>
      <c r="S96" s="35" t="s">
        <v>529</v>
      </c>
      <c r="T96" s="66"/>
    </row>
    <row r="97" spans="2:20">
      <c r="B97" s="39" t="s">
        <v>584</v>
      </c>
      <c r="C97" s="39"/>
      <c r="D97" s="38">
        <v>46027</v>
      </c>
      <c r="E97" s="39" t="s">
        <v>585</v>
      </c>
      <c r="F97" s="39" t="s">
        <v>586</v>
      </c>
      <c r="G97" s="39" t="s">
        <v>587</v>
      </c>
      <c r="H97" s="39"/>
      <c r="I97" s="39" t="s">
        <v>34</v>
      </c>
      <c r="J97" s="39">
        <v>0</v>
      </c>
      <c r="K97" s="39">
        <v>0</v>
      </c>
      <c r="L97" s="35"/>
      <c r="M97" s="39"/>
      <c r="N97" s="39"/>
      <c r="O97" s="39" t="s">
        <v>588</v>
      </c>
      <c r="P97" s="39"/>
      <c r="Q97" s="39" t="s">
        <v>44</v>
      </c>
      <c r="R97" s="39" t="s">
        <v>45</v>
      </c>
      <c r="S97" s="39" t="s">
        <v>529</v>
      </c>
      <c r="T97" s="48"/>
    </row>
    <row r="98" spans="2:20">
      <c r="B98" s="37" t="s">
        <v>589</v>
      </c>
      <c r="C98" s="37"/>
      <c r="D98" s="36"/>
      <c r="E98" s="37" t="s">
        <v>590</v>
      </c>
      <c r="F98" s="37" t="s">
        <v>591</v>
      </c>
      <c r="G98" s="37" t="s">
        <v>592</v>
      </c>
      <c r="H98" s="37"/>
      <c r="I98" s="37" t="s">
        <v>164</v>
      </c>
      <c r="J98" s="37" t="e">
        <v>#N/A</v>
      </c>
      <c r="K98" s="37">
        <v>0</v>
      </c>
      <c r="L98" s="35"/>
      <c r="M98" s="37"/>
      <c r="N98" s="37"/>
      <c r="O98" s="37" t="s">
        <v>593</v>
      </c>
      <c r="P98" s="37"/>
      <c r="Q98" s="37" t="s">
        <v>36</v>
      </c>
      <c r="R98" s="37" t="s">
        <v>166</v>
      </c>
      <c r="S98" s="35" t="s">
        <v>529</v>
      </c>
      <c r="T98" s="49" t="s">
        <v>594</v>
      </c>
    </row>
    <row r="99" spans="2:20">
      <c r="B99" s="35" t="s">
        <v>595</v>
      </c>
      <c r="C99" s="35"/>
      <c r="D99" s="34">
        <v>46027</v>
      </c>
      <c r="E99" s="35" t="s">
        <v>596</v>
      </c>
      <c r="F99" s="35" t="s">
        <v>597</v>
      </c>
      <c r="G99" s="35" t="s">
        <v>598</v>
      </c>
      <c r="H99" s="35"/>
      <c r="I99" s="35" t="s">
        <v>548</v>
      </c>
      <c r="J99" s="35" t="e">
        <v>#N/A</v>
      </c>
      <c r="K99" s="35">
        <v>0</v>
      </c>
      <c r="L99" s="35"/>
      <c r="M99" s="35"/>
      <c r="N99" s="35"/>
      <c r="O99" s="35" t="s">
        <v>599</v>
      </c>
      <c r="P99" s="35"/>
      <c r="Q99" s="35" t="s">
        <v>44</v>
      </c>
      <c r="R99" s="35" t="s">
        <v>45</v>
      </c>
      <c r="S99" s="35" t="s">
        <v>529</v>
      </c>
      <c r="T99" s="66"/>
    </row>
    <row r="100" spans="2:20" ht="15.75">
      <c r="B100" s="41" t="s">
        <v>600</v>
      </c>
      <c r="C100" s="41" t="e">
        <f>_xlfn.XLOOKUP(Table1[[#This Row],[EIN]],Sheet5!#REF!,Sheet5!#REF!)</f>
        <v>#REF!</v>
      </c>
      <c r="D100" s="36">
        <v>46027</v>
      </c>
      <c r="E100" s="37" t="s">
        <v>601</v>
      </c>
      <c r="F100" s="37" t="s">
        <v>134</v>
      </c>
      <c r="G100" s="37" t="s">
        <v>135</v>
      </c>
      <c r="H100" s="40" t="s">
        <v>136</v>
      </c>
      <c r="I100" s="41" t="s">
        <v>34</v>
      </c>
      <c r="J100" s="41" t="s">
        <v>35</v>
      </c>
      <c r="K100" s="41">
        <v>36</v>
      </c>
      <c r="L100" s="41">
        <v>465129465</v>
      </c>
      <c r="M100" s="41" t="s">
        <v>42</v>
      </c>
      <c r="N100" s="42"/>
      <c r="O100" s="37" t="s">
        <v>602</v>
      </c>
      <c r="P100" s="37"/>
      <c r="Q100" s="43"/>
      <c r="R100" s="37"/>
      <c r="S100" s="37" t="s">
        <v>529</v>
      </c>
      <c r="T100" s="49"/>
    </row>
    <row r="101" spans="2:20">
      <c r="B101" s="35" t="s">
        <v>603</v>
      </c>
      <c r="C101" s="35"/>
      <c r="D101" s="36">
        <v>46031</v>
      </c>
      <c r="E101" s="35" t="s">
        <v>604</v>
      </c>
      <c r="F101" s="35" t="s">
        <v>605</v>
      </c>
      <c r="G101" s="35" t="s">
        <v>606</v>
      </c>
      <c r="H101" s="35" t="s">
        <v>607</v>
      </c>
      <c r="I101" s="35"/>
      <c r="J101" s="35" t="s">
        <v>35</v>
      </c>
      <c r="K101" s="35">
        <v>45</v>
      </c>
      <c r="L101" s="35">
        <v>330758237</v>
      </c>
      <c r="M101" s="35" t="s">
        <v>60</v>
      </c>
      <c r="N101" s="35"/>
      <c r="O101" s="35" t="s">
        <v>608</v>
      </c>
      <c r="P101" s="35"/>
      <c r="Q101" s="35"/>
      <c r="R101" s="35"/>
      <c r="S101" s="39" t="s">
        <v>529</v>
      </c>
      <c r="T101" s="66" t="s">
        <v>609</v>
      </c>
    </row>
    <row r="102" spans="2:20">
      <c r="B102" s="37" t="s">
        <v>610</v>
      </c>
      <c r="C102" s="37"/>
      <c r="D102" s="36">
        <v>46027</v>
      </c>
      <c r="E102" s="37" t="s">
        <v>611</v>
      </c>
      <c r="F102" s="37" t="s">
        <v>612</v>
      </c>
      <c r="G102" s="37" t="s">
        <v>142</v>
      </c>
      <c r="H102" s="37"/>
      <c r="I102" s="37" t="s">
        <v>105</v>
      </c>
      <c r="J102" s="37">
        <v>0</v>
      </c>
      <c r="K102" s="37">
        <v>0</v>
      </c>
      <c r="L102" s="35"/>
      <c r="M102" s="37"/>
      <c r="N102" s="37"/>
      <c r="O102" s="37" t="s">
        <v>613</v>
      </c>
      <c r="P102" s="37"/>
      <c r="Q102" s="37" t="s">
        <v>36</v>
      </c>
      <c r="R102" s="37" t="s">
        <v>554</v>
      </c>
      <c r="S102" s="39" t="s">
        <v>529</v>
      </c>
      <c r="T102" s="49" t="s">
        <v>614</v>
      </c>
    </row>
    <row r="103" spans="2:20">
      <c r="B103" s="35" t="s">
        <v>615</v>
      </c>
      <c r="C103" s="35" t="e">
        <f>_xlfn.XLOOKUP(Table1[[#This Row],[EIN]],Sheet5!#REF!,Sheet5!#REF!)</f>
        <v>#REF!</v>
      </c>
      <c r="D103" s="36">
        <v>46031</v>
      </c>
      <c r="E103" s="35" t="s">
        <v>616</v>
      </c>
      <c r="F103" s="35" t="s">
        <v>617</v>
      </c>
      <c r="G103" s="35" t="s">
        <v>51</v>
      </c>
      <c r="H103" s="35" t="s">
        <v>618</v>
      </c>
      <c r="I103" s="35" t="s">
        <v>52</v>
      </c>
      <c r="J103" s="35" t="e">
        <v>#N/A</v>
      </c>
      <c r="K103" s="35">
        <v>32</v>
      </c>
      <c r="L103" s="35">
        <v>346505038</v>
      </c>
      <c r="M103" s="35" t="s">
        <v>60</v>
      </c>
      <c r="N103" s="35"/>
      <c r="O103" s="35" t="s">
        <v>619</v>
      </c>
      <c r="P103" s="35"/>
      <c r="Q103" s="35"/>
      <c r="R103" s="35"/>
      <c r="S103" s="39" t="s">
        <v>529</v>
      </c>
      <c r="T103" s="66"/>
    </row>
    <row r="104" spans="2:20">
      <c r="B104" s="35" t="s">
        <v>620</v>
      </c>
      <c r="C104" s="35" t="e">
        <f>_xlfn.XLOOKUP(Table1[[#This Row],[EIN]],Sheet5!#REF!,Sheet5!#REF!)</f>
        <v>#REF!</v>
      </c>
      <c r="D104" s="36">
        <v>46031</v>
      </c>
      <c r="E104" s="35" t="s">
        <v>621</v>
      </c>
      <c r="F104" s="35" t="s">
        <v>622</v>
      </c>
      <c r="G104" s="35" t="s">
        <v>623</v>
      </c>
      <c r="H104" s="35" t="s">
        <v>624</v>
      </c>
      <c r="I104" s="35" t="s">
        <v>541</v>
      </c>
      <c r="J104" s="35" t="e">
        <v>#N/A</v>
      </c>
      <c r="K104" s="35">
        <v>130</v>
      </c>
      <c r="L104" s="35">
        <v>237336418</v>
      </c>
      <c r="M104" s="35" t="s">
        <v>60</v>
      </c>
      <c r="N104" s="35"/>
      <c r="O104" s="35" t="s">
        <v>625</v>
      </c>
      <c r="P104" s="35"/>
      <c r="Q104" s="35"/>
      <c r="R104" s="35"/>
      <c r="S104" s="39" t="s">
        <v>529</v>
      </c>
      <c r="T104" s="66" t="s">
        <v>626</v>
      </c>
    </row>
    <row r="105" spans="2:20">
      <c r="B105" s="35" t="s">
        <v>627</v>
      </c>
      <c r="C105" s="35"/>
      <c r="D105" s="36"/>
      <c r="E105" s="35" t="s">
        <v>628</v>
      </c>
      <c r="F105" s="35" t="s">
        <v>629</v>
      </c>
      <c r="G105" s="35" t="s">
        <v>630</v>
      </c>
      <c r="H105" s="35" t="s">
        <v>631</v>
      </c>
      <c r="I105" s="35"/>
      <c r="J105" s="35" t="s">
        <v>35</v>
      </c>
      <c r="K105" s="35">
        <v>23</v>
      </c>
      <c r="L105" s="35">
        <v>237089096</v>
      </c>
      <c r="M105" s="35" t="s">
        <v>76</v>
      </c>
      <c r="N105" s="35"/>
      <c r="O105" s="35" t="s">
        <v>632</v>
      </c>
      <c r="P105" s="35"/>
      <c r="Q105" s="35"/>
      <c r="R105" s="35"/>
      <c r="S105" s="39"/>
      <c r="T105" s="66"/>
    </row>
    <row r="106" spans="2:20">
      <c r="B106" s="35" t="s">
        <v>633</v>
      </c>
      <c r="C106" s="35"/>
      <c r="D106" s="36"/>
      <c r="E106" s="35" t="s">
        <v>634</v>
      </c>
      <c r="F106" s="35" t="s">
        <v>635</v>
      </c>
      <c r="G106" s="35" t="s">
        <v>636</v>
      </c>
      <c r="H106" s="35" t="s">
        <v>637</v>
      </c>
      <c r="I106" s="35" t="s">
        <v>129</v>
      </c>
      <c r="J106" s="35" t="s">
        <v>69</v>
      </c>
      <c r="K106" s="35">
        <v>88</v>
      </c>
      <c r="L106" s="35">
        <v>350882856</v>
      </c>
      <c r="M106" s="35" t="s">
        <v>60</v>
      </c>
      <c r="N106" s="35" t="s">
        <v>638</v>
      </c>
      <c r="O106" s="35" t="s">
        <v>639</v>
      </c>
      <c r="P106" s="35"/>
      <c r="Q106" s="35"/>
      <c r="R106" s="35" t="s">
        <v>27</v>
      </c>
      <c r="S106" s="39"/>
      <c r="T106" s="66"/>
    </row>
    <row r="107" spans="2:20">
      <c r="B107" s="35" t="s">
        <v>640</v>
      </c>
      <c r="C107" s="35"/>
      <c r="D107" s="36"/>
      <c r="E107" s="35" t="s">
        <v>641</v>
      </c>
      <c r="F107" s="35" t="s">
        <v>642</v>
      </c>
      <c r="G107" s="35" t="s">
        <v>274</v>
      </c>
      <c r="H107" s="35"/>
      <c r="I107" s="35"/>
      <c r="J107" s="35" t="s">
        <v>35</v>
      </c>
      <c r="K107" s="35">
        <v>27</v>
      </c>
      <c r="L107" s="35">
        <v>910793881</v>
      </c>
      <c r="M107" s="35" t="s">
        <v>76</v>
      </c>
      <c r="N107" s="35"/>
      <c r="O107" s="35"/>
      <c r="P107" s="35"/>
      <c r="Q107" s="35"/>
      <c r="R107" s="35"/>
      <c r="S107" s="39"/>
      <c r="T107" s="66"/>
    </row>
    <row r="108" spans="2:20">
      <c r="B108" s="35" t="s">
        <v>643</v>
      </c>
      <c r="C108" s="35"/>
      <c r="D108" s="36"/>
      <c r="E108" s="35" t="s">
        <v>644</v>
      </c>
      <c r="F108" s="35" t="s">
        <v>645</v>
      </c>
      <c r="G108" s="35" t="s">
        <v>142</v>
      </c>
      <c r="H108" s="35"/>
      <c r="I108" s="35" t="s">
        <v>204</v>
      </c>
      <c r="J108" s="35" t="s">
        <v>646</v>
      </c>
      <c r="K108" s="35">
        <v>91</v>
      </c>
      <c r="L108" s="35">
        <v>411955286</v>
      </c>
      <c r="M108" s="35" t="s">
        <v>60</v>
      </c>
      <c r="N108" s="35" t="s">
        <v>647</v>
      </c>
      <c r="O108" s="35" t="s">
        <v>648</v>
      </c>
      <c r="P108" s="35"/>
      <c r="Q108" s="35"/>
      <c r="R108" s="35" t="s">
        <v>27</v>
      </c>
      <c r="S108" s="39"/>
      <c r="T108" s="66"/>
    </row>
    <row r="109" spans="2:20">
      <c r="B109" s="35" t="s">
        <v>649</v>
      </c>
      <c r="C109" s="35"/>
      <c r="D109" s="36"/>
      <c r="E109" s="35" t="s">
        <v>650</v>
      </c>
      <c r="F109" s="35"/>
      <c r="G109" s="35"/>
      <c r="H109" s="35" t="s">
        <v>651</v>
      </c>
      <c r="I109" s="35"/>
      <c r="J109" s="35" t="s">
        <v>35</v>
      </c>
      <c r="K109" s="35">
        <v>31</v>
      </c>
      <c r="L109" s="35">
        <v>204345935</v>
      </c>
      <c r="M109" s="35" t="s">
        <v>60</v>
      </c>
      <c r="N109" s="35"/>
      <c r="O109" s="35" t="s">
        <v>652</v>
      </c>
      <c r="P109" s="35"/>
      <c r="Q109" s="35"/>
      <c r="R109" s="35"/>
      <c r="S109" s="39"/>
      <c r="T109" s="66"/>
    </row>
    <row r="110" spans="2:20">
      <c r="B110" s="35" t="s">
        <v>653</v>
      </c>
      <c r="C110" s="35"/>
      <c r="D110" s="36"/>
      <c r="E110" s="35" t="s">
        <v>654</v>
      </c>
      <c r="F110" s="35" t="s">
        <v>655</v>
      </c>
      <c r="G110" s="35" t="s">
        <v>260</v>
      </c>
      <c r="H110" s="35" t="s">
        <v>656</v>
      </c>
      <c r="I110" s="35" t="s">
        <v>548</v>
      </c>
      <c r="J110" s="35" t="s">
        <v>646</v>
      </c>
      <c r="K110" s="35">
        <v>67</v>
      </c>
      <c r="L110" s="35">
        <v>364012380</v>
      </c>
      <c r="M110" s="35" t="s">
        <v>60</v>
      </c>
      <c r="N110" s="35" t="s">
        <v>657</v>
      </c>
      <c r="O110" s="35" t="s">
        <v>658</v>
      </c>
      <c r="P110" s="35"/>
      <c r="Q110" s="35"/>
      <c r="R110" s="35" t="s">
        <v>27</v>
      </c>
      <c r="S110" s="39"/>
      <c r="T110" s="66"/>
    </row>
    <row r="111" spans="2:20">
      <c r="B111" s="35" t="s">
        <v>659</v>
      </c>
      <c r="C111" s="35" t="e">
        <f>_xlfn.XLOOKUP(Table1[[#This Row],[EIN]],Sheet5!#REF!,Sheet5!#REF!)</f>
        <v>#REF!</v>
      </c>
      <c r="D111" s="36"/>
      <c r="E111" s="35" t="s">
        <v>229</v>
      </c>
      <c r="F111" s="35" t="s">
        <v>660</v>
      </c>
      <c r="G111" s="35" t="s">
        <v>661</v>
      </c>
      <c r="H111" s="35" t="s">
        <v>662</v>
      </c>
      <c r="I111" s="35" t="s">
        <v>34</v>
      </c>
      <c r="J111" s="35" t="s">
        <v>35</v>
      </c>
      <c r="K111" s="35">
        <v>170</v>
      </c>
      <c r="L111" s="35">
        <v>943100217</v>
      </c>
      <c r="M111" s="35" t="s">
        <v>60</v>
      </c>
      <c r="N111" s="35"/>
      <c r="O111" s="35" t="s">
        <v>663</v>
      </c>
      <c r="P111" s="35"/>
      <c r="Q111" s="35"/>
      <c r="R111" s="35"/>
      <c r="S111" s="39"/>
      <c r="T111" s="66"/>
    </row>
    <row r="112" spans="2:20">
      <c r="B112" s="35" t="s">
        <v>664</v>
      </c>
      <c r="C112" s="35"/>
      <c r="D112" s="36"/>
      <c r="E112" s="35"/>
      <c r="F112" s="35" t="s">
        <v>665</v>
      </c>
      <c r="G112" s="35" t="s">
        <v>666</v>
      </c>
      <c r="H112" s="35" t="s">
        <v>667</v>
      </c>
      <c r="I112" s="35"/>
      <c r="J112" s="35" t="s">
        <v>35</v>
      </c>
      <c r="K112" s="35">
        <v>34</v>
      </c>
      <c r="L112" s="35">
        <v>943377099</v>
      </c>
      <c r="M112" s="35" t="s">
        <v>76</v>
      </c>
      <c r="N112" s="35"/>
      <c r="O112" s="35" t="s">
        <v>668</v>
      </c>
      <c r="P112" s="35"/>
      <c r="Q112" s="35"/>
      <c r="R112" s="35"/>
      <c r="S112" s="39"/>
      <c r="T112" s="66"/>
    </row>
    <row r="113" spans="2:20">
      <c r="B113" s="35" t="s">
        <v>669</v>
      </c>
      <c r="C113" s="35"/>
      <c r="D113" s="36"/>
      <c r="E113" s="35" t="s">
        <v>670</v>
      </c>
      <c r="F113" s="35" t="s">
        <v>671</v>
      </c>
      <c r="G113" s="35" t="s">
        <v>672</v>
      </c>
      <c r="H113" s="35"/>
      <c r="I113" s="35"/>
      <c r="J113" s="35" t="s">
        <v>35</v>
      </c>
      <c r="K113" s="35">
        <v>28</v>
      </c>
      <c r="L113" s="35">
        <v>461702755</v>
      </c>
      <c r="M113" s="35" t="s">
        <v>76</v>
      </c>
      <c r="N113" s="35"/>
      <c r="O113" s="35" t="s">
        <v>673</v>
      </c>
      <c r="P113" s="35"/>
      <c r="Q113" s="35"/>
      <c r="R113" s="35"/>
      <c r="S113" s="39"/>
      <c r="T113" s="66"/>
    </row>
    <row r="114" spans="2:20">
      <c r="B114" s="35" t="s">
        <v>674</v>
      </c>
      <c r="C114" s="35"/>
      <c r="D114" s="36"/>
      <c r="E114" s="35" t="s">
        <v>675</v>
      </c>
      <c r="F114" s="35" t="s">
        <v>676</v>
      </c>
      <c r="G114" s="35" t="s">
        <v>677</v>
      </c>
      <c r="H114" s="35"/>
      <c r="I114" s="35" t="s">
        <v>678</v>
      </c>
      <c r="J114" s="35" t="s">
        <v>69</v>
      </c>
      <c r="K114" s="35">
        <v>80</v>
      </c>
      <c r="L114" s="35">
        <v>20512290</v>
      </c>
      <c r="M114" s="35" t="s">
        <v>60</v>
      </c>
      <c r="N114" s="35" t="s">
        <v>679</v>
      </c>
      <c r="O114" s="35" t="s">
        <v>680</v>
      </c>
      <c r="P114" s="35"/>
      <c r="Q114" s="35"/>
      <c r="R114" s="35" t="s">
        <v>27</v>
      </c>
      <c r="S114" s="39"/>
      <c r="T114" s="66"/>
    </row>
    <row r="115" spans="2:20">
      <c r="B115" s="35" t="s">
        <v>681</v>
      </c>
      <c r="C115" s="35"/>
      <c r="D115" s="36"/>
      <c r="E115" s="35" t="s">
        <v>682</v>
      </c>
      <c r="F115" s="35" t="s">
        <v>683</v>
      </c>
      <c r="G115" s="35" t="s">
        <v>260</v>
      </c>
      <c r="H115" s="35" t="s">
        <v>684</v>
      </c>
      <c r="I115" s="35" t="s">
        <v>24</v>
      </c>
      <c r="J115" s="35" t="s">
        <v>69</v>
      </c>
      <c r="K115" s="35">
        <v>77</v>
      </c>
      <c r="L115" s="35">
        <v>237094777</v>
      </c>
      <c r="M115" s="35" t="s">
        <v>60</v>
      </c>
      <c r="N115" s="35" t="s">
        <v>685</v>
      </c>
      <c r="O115" s="35" t="s">
        <v>686</v>
      </c>
      <c r="P115" s="35"/>
      <c r="Q115" s="35"/>
      <c r="R115" s="35" t="s">
        <v>27</v>
      </c>
      <c r="S115" s="39"/>
      <c r="T115" s="66"/>
    </row>
    <row r="116" spans="2:20">
      <c r="B116" s="35" t="s">
        <v>687</v>
      </c>
      <c r="C116" s="35"/>
      <c r="D116" s="36"/>
      <c r="E116" s="35" t="s">
        <v>688</v>
      </c>
      <c r="F116" s="35" t="s">
        <v>689</v>
      </c>
      <c r="G116" s="35" t="s">
        <v>274</v>
      </c>
      <c r="H116" s="35" t="s">
        <v>690</v>
      </c>
      <c r="I116" s="35" t="s">
        <v>691</v>
      </c>
      <c r="J116" s="35" t="s">
        <v>69</v>
      </c>
      <c r="K116" s="35">
        <v>94</v>
      </c>
      <c r="L116" s="35">
        <v>582418091</v>
      </c>
      <c r="M116" s="35" t="s">
        <v>60</v>
      </c>
      <c r="N116" s="35" t="s">
        <v>692</v>
      </c>
      <c r="O116" s="35" t="s">
        <v>693</v>
      </c>
      <c r="P116" s="35"/>
      <c r="Q116" s="35"/>
      <c r="R116" s="35" t="s">
        <v>27</v>
      </c>
      <c r="S116" s="39"/>
      <c r="T116" s="66"/>
    </row>
    <row r="117" spans="2:20">
      <c r="B117" s="35" t="s">
        <v>694</v>
      </c>
      <c r="C117" s="35"/>
      <c r="D117" s="36"/>
      <c r="E117" s="35"/>
      <c r="F117" s="35" t="s">
        <v>695</v>
      </c>
      <c r="G117" s="35" t="s">
        <v>696</v>
      </c>
      <c r="H117" s="35"/>
      <c r="I117" s="35"/>
      <c r="J117" s="35" t="s">
        <v>35</v>
      </c>
      <c r="K117" s="35">
        <v>23</v>
      </c>
      <c r="L117" s="35">
        <v>521757452</v>
      </c>
      <c r="M117" s="35" t="s">
        <v>76</v>
      </c>
      <c r="N117" s="35"/>
      <c r="O117" s="35" t="s">
        <v>697</v>
      </c>
      <c r="P117" s="35"/>
      <c r="Q117" s="35"/>
      <c r="R117" s="35"/>
      <c r="S117" s="39"/>
      <c r="T117" s="66"/>
    </row>
    <row r="118" spans="2:20">
      <c r="B118" s="35" t="s">
        <v>698</v>
      </c>
      <c r="C118" s="35"/>
      <c r="D118" s="36"/>
      <c r="E118" s="35"/>
      <c r="F118" s="35" t="s">
        <v>699</v>
      </c>
      <c r="G118" s="35" t="s">
        <v>700</v>
      </c>
      <c r="H118" s="35"/>
      <c r="I118" s="35"/>
      <c r="J118" s="35" t="s">
        <v>114</v>
      </c>
      <c r="K118" s="35"/>
      <c r="L118" s="35">
        <v>853683086</v>
      </c>
      <c r="M118" s="35" t="s">
        <v>60</v>
      </c>
      <c r="N118" s="35"/>
      <c r="O118" s="35" t="s">
        <v>701</v>
      </c>
      <c r="P118" s="35"/>
      <c r="Q118" s="35"/>
      <c r="R118" s="35"/>
      <c r="S118" s="39"/>
      <c r="T118" s="66"/>
    </row>
    <row r="119" spans="2:20">
      <c r="B119" s="35" t="s">
        <v>702</v>
      </c>
      <c r="C119" s="35" t="e">
        <f>_xlfn.XLOOKUP(Table1[[#This Row],[EIN]],Sheet5!#REF!,Sheet5!#REF!)</f>
        <v>#REF!</v>
      </c>
      <c r="D119" s="36"/>
      <c r="E119" s="35" t="s">
        <v>703</v>
      </c>
      <c r="F119" s="35" t="s">
        <v>704</v>
      </c>
      <c r="G119" s="35" t="s">
        <v>705</v>
      </c>
      <c r="H119" s="35" t="s">
        <v>706</v>
      </c>
      <c r="I119" s="35" t="s">
        <v>143</v>
      </c>
      <c r="J119" s="35" t="s">
        <v>35</v>
      </c>
      <c r="K119" s="35">
        <v>20</v>
      </c>
      <c r="L119" s="35">
        <v>825328231</v>
      </c>
      <c r="M119" s="35" t="s">
        <v>60</v>
      </c>
      <c r="N119" s="35"/>
      <c r="O119" s="35" t="s">
        <v>707</v>
      </c>
      <c r="P119" s="35"/>
      <c r="Q119" s="35"/>
      <c r="R119" s="35"/>
      <c r="S119" s="39"/>
      <c r="T119" s="66"/>
    </row>
    <row r="120" spans="2:20">
      <c r="B120" s="35" t="s">
        <v>708</v>
      </c>
      <c r="C120" s="35"/>
      <c r="D120" s="36"/>
      <c r="E120" s="35" t="s">
        <v>709</v>
      </c>
      <c r="F120" s="35" t="s">
        <v>710</v>
      </c>
      <c r="G120" s="35" t="s">
        <v>711</v>
      </c>
      <c r="H120" s="35"/>
      <c r="I120" s="35"/>
      <c r="J120" s="35" t="s">
        <v>35</v>
      </c>
      <c r="K120" s="35">
        <v>27</v>
      </c>
      <c r="L120" s="35">
        <v>943289283</v>
      </c>
      <c r="M120" s="35" t="s">
        <v>76</v>
      </c>
      <c r="N120" s="35"/>
      <c r="O120" s="35" t="s">
        <v>712</v>
      </c>
      <c r="P120" s="35"/>
      <c r="Q120" s="35"/>
      <c r="R120" s="35"/>
      <c r="S120" s="39"/>
      <c r="T120" s="66"/>
    </row>
    <row r="121" spans="2:20">
      <c r="B121" s="35" t="s">
        <v>713</v>
      </c>
      <c r="C121" s="35"/>
      <c r="D121" s="36"/>
      <c r="E121" s="35" t="s">
        <v>714</v>
      </c>
      <c r="F121" s="35" t="s">
        <v>715</v>
      </c>
      <c r="G121" s="35" t="s">
        <v>716</v>
      </c>
      <c r="H121" s="35"/>
      <c r="I121" s="35"/>
      <c r="J121" s="35" t="s">
        <v>114</v>
      </c>
      <c r="K121" s="35"/>
      <c r="L121" s="35">
        <v>830562671</v>
      </c>
      <c r="M121" s="35" t="s">
        <v>76</v>
      </c>
      <c r="N121" s="35"/>
      <c r="O121" s="35" t="s">
        <v>717</v>
      </c>
      <c r="P121" s="35"/>
      <c r="Q121" s="35"/>
      <c r="R121" s="35"/>
      <c r="S121" s="39"/>
      <c r="T121" s="66"/>
    </row>
    <row r="122" spans="2:20">
      <c r="B122" s="35" t="s">
        <v>718</v>
      </c>
      <c r="C122" s="35"/>
      <c r="D122" s="36"/>
      <c r="E122" s="35" t="s">
        <v>719</v>
      </c>
      <c r="F122" s="35" t="s">
        <v>720</v>
      </c>
      <c r="G122" s="35" t="s">
        <v>721</v>
      </c>
      <c r="H122" s="35" t="s">
        <v>722</v>
      </c>
      <c r="I122" s="35"/>
      <c r="J122" s="35" t="s">
        <v>35</v>
      </c>
      <c r="K122" s="35">
        <v>21</v>
      </c>
      <c r="L122" s="35">
        <v>450705509</v>
      </c>
      <c r="M122" s="35" t="s">
        <v>76</v>
      </c>
      <c r="N122" s="35"/>
      <c r="O122" s="35" t="s">
        <v>723</v>
      </c>
      <c r="P122" s="35"/>
      <c r="Q122" s="35"/>
      <c r="R122" s="35"/>
      <c r="S122" s="39"/>
      <c r="T122" s="66"/>
    </row>
    <row r="123" spans="2:20">
      <c r="B123" s="35" t="s">
        <v>724</v>
      </c>
      <c r="C123" s="35" t="e">
        <f>_xlfn.XLOOKUP(Table1[[#This Row],[EIN]],Sheet5!#REF!,Sheet5!#REF!)</f>
        <v>#REF!</v>
      </c>
      <c r="D123" s="36"/>
      <c r="E123" s="35" t="s">
        <v>725</v>
      </c>
      <c r="F123" s="35" t="s">
        <v>351</v>
      </c>
      <c r="G123" s="35" t="s">
        <v>726</v>
      </c>
      <c r="H123" s="35" t="s">
        <v>352</v>
      </c>
      <c r="I123" s="35" t="s">
        <v>336</v>
      </c>
      <c r="J123" s="35" t="s">
        <v>35</v>
      </c>
      <c r="K123" s="35">
        <v>107</v>
      </c>
      <c r="L123" s="35">
        <v>930806316</v>
      </c>
      <c r="M123" s="35" t="s">
        <v>60</v>
      </c>
      <c r="N123" s="35"/>
      <c r="O123" s="35" t="s">
        <v>727</v>
      </c>
      <c r="P123" s="35"/>
      <c r="Q123" s="35"/>
      <c r="R123" s="35"/>
      <c r="S123" s="39"/>
      <c r="T123" s="66"/>
    </row>
    <row r="124" spans="2:20">
      <c r="B124" s="35" t="s">
        <v>728</v>
      </c>
      <c r="C124" s="35"/>
      <c r="D124" s="36"/>
      <c r="E124" s="35" t="s">
        <v>729</v>
      </c>
      <c r="F124" s="35" t="s">
        <v>730</v>
      </c>
      <c r="G124" s="35" t="s">
        <v>142</v>
      </c>
      <c r="H124" s="35"/>
      <c r="I124" s="35"/>
      <c r="J124" s="35" t="s">
        <v>35</v>
      </c>
      <c r="K124" s="35">
        <v>36</v>
      </c>
      <c r="L124" s="35">
        <v>943250195</v>
      </c>
      <c r="M124" s="35" t="s">
        <v>76</v>
      </c>
      <c r="N124" s="35"/>
      <c r="O124" s="35" t="s">
        <v>731</v>
      </c>
      <c r="P124" s="35"/>
      <c r="Q124" s="35"/>
      <c r="R124" s="35"/>
      <c r="S124" s="39"/>
      <c r="T124" s="66"/>
    </row>
    <row r="125" spans="2:20">
      <c r="B125" s="35" t="s">
        <v>732</v>
      </c>
      <c r="C125" s="35"/>
      <c r="D125" s="36"/>
      <c r="E125" s="35" t="s">
        <v>733</v>
      </c>
      <c r="F125" s="35" t="s">
        <v>734</v>
      </c>
      <c r="G125" s="35" t="s">
        <v>735</v>
      </c>
      <c r="H125" s="35" t="s">
        <v>736</v>
      </c>
      <c r="I125" s="35"/>
      <c r="J125" s="35" t="s">
        <v>35</v>
      </c>
      <c r="K125" s="35">
        <v>40</v>
      </c>
      <c r="L125" s="35">
        <v>880244735</v>
      </c>
      <c r="M125" s="35" t="s">
        <v>76</v>
      </c>
      <c r="N125" s="35"/>
      <c r="O125" s="35" t="s">
        <v>737</v>
      </c>
      <c r="P125" s="35"/>
      <c r="Q125" s="35"/>
      <c r="R125" s="35"/>
      <c r="S125" s="39"/>
      <c r="T125" s="66"/>
    </row>
    <row r="126" spans="2:20">
      <c r="B126" s="35" t="s">
        <v>738</v>
      </c>
      <c r="C126" s="35"/>
      <c r="D126" s="36"/>
      <c r="E126" s="35"/>
      <c r="F126" s="35" t="s">
        <v>739</v>
      </c>
      <c r="G126" s="35" t="s">
        <v>740</v>
      </c>
      <c r="H126" s="35"/>
      <c r="I126" s="35"/>
      <c r="J126" s="35" t="s">
        <v>35</v>
      </c>
      <c r="K126" s="35">
        <v>44</v>
      </c>
      <c r="L126" s="35">
        <v>471820379</v>
      </c>
      <c r="M126" s="35" t="s">
        <v>60</v>
      </c>
      <c r="N126" s="35"/>
      <c r="O126" s="35" t="s">
        <v>741</v>
      </c>
      <c r="P126" s="35"/>
      <c r="Q126" s="35"/>
      <c r="R126" s="35"/>
      <c r="S126" s="39"/>
      <c r="T126" s="66"/>
    </row>
    <row r="127" spans="2:20">
      <c r="B127" s="35" t="s">
        <v>742</v>
      </c>
      <c r="C127" s="35"/>
      <c r="D127" s="36"/>
      <c r="E127" s="35" t="s">
        <v>743</v>
      </c>
      <c r="F127" s="35" t="s">
        <v>744</v>
      </c>
      <c r="G127" s="35" t="s">
        <v>745</v>
      </c>
      <c r="H127" s="35"/>
      <c r="I127" s="35"/>
      <c r="J127" s="35" t="s">
        <v>35</v>
      </c>
      <c r="K127" s="35">
        <v>250</v>
      </c>
      <c r="L127" s="35">
        <v>942474426</v>
      </c>
      <c r="M127" s="35" t="s">
        <v>76</v>
      </c>
      <c r="N127" s="35"/>
      <c r="O127" s="35" t="s">
        <v>746</v>
      </c>
      <c r="P127" s="35"/>
      <c r="Q127" s="35"/>
      <c r="R127" s="35"/>
      <c r="S127" s="39"/>
      <c r="T127" s="66"/>
    </row>
    <row r="128" spans="2:20" ht="30.75">
      <c r="B128" s="35" t="s">
        <v>747</v>
      </c>
      <c r="C128" s="35"/>
      <c r="D128" s="36">
        <v>46031</v>
      </c>
      <c r="E128" s="35" t="s">
        <v>748</v>
      </c>
      <c r="F128" s="35" t="s">
        <v>749</v>
      </c>
      <c r="G128" s="35" t="s">
        <v>274</v>
      </c>
      <c r="H128" s="35"/>
      <c r="I128" s="35"/>
      <c r="J128" s="35" t="s">
        <v>35</v>
      </c>
      <c r="K128" s="35">
        <v>39</v>
      </c>
      <c r="L128" s="35">
        <v>946102700</v>
      </c>
      <c r="M128" s="35" t="s">
        <v>60</v>
      </c>
      <c r="N128" s="35"/>
      <c r="O128" s="35" t="s">
        <v>750</v>
      </c>
      <c r="P128" s="35"/>
      <c r="Q128" s="35"/>
      <c r="R128" s="35"/>
      <c r="S128" s="39"/>
      <c r="T128" s="66" t="s">
        <v>751</v>
      </c>
    </row>
    <row r="129" spans="2:20">
      <c r="B129" s="35" t="s">
        <v>752</v>
      </c>
      <c r="C129" s="35" t="e">
        <f>_xlfn.XLOOKUP(Table1[[#This Row],[EIN]],Sheet5!#REF!,Sheet5!#REF!)</f>
        <v>#REF!</v>
      </c>
      <c r="D129" s="36"/>
      <c r="E129" s="35" t="s">
        <v>488</v>
      </c>
      <c r="F129" s="35" t="s">
        <v>489</v>
      </c>
      <c r="G129" s="35" t="s">
        <v>142</v>
      </c>
      <c r="H129" s="35" t="s">
        <v>490</v>
      </c>
      <c r="I129" s="35" t="s">
        <v>143</v>
      </c>
      <c r="J129" s="35" t="s">
        <v>35</v>
      </c>
      <c r="K129" s="35">
        <v>32</v>
      </c>
      <c r="L129" s="35">
        <v>911501066</v>
      </c>
      <c r="M129" s="35" t="s">
        <v>60</v>
      </c>
      <c r="N129" s="35"/>
      <c r="O129" s="35" t="s">
        <v>753</v>
      </c>
      <c r="P129" s="35"/>
      <c r="Q129" s="35"/>
      <c r="R129" s="35"/>
      <c r="S129" s="39"/>
      <c r="T129" s="66"/>
    </row>
    <row r="130" spans="2:20">
      <c r="B130" s="35" t="s">
        <v>754</v>
      </c>
      <c r="C130" s="35"/>
      <c r="D130" s="36"/>
      <c r="E130" s="35" t="s">
        <v>755</v>
      </c>
      <c r="F130" s="35" t="s">
        <v>756</v>
      </c>
      <c r="G130" s="35" t="s">
        <v>757</v>
      </c>
      <c r="H130" s="35"/>
      <c r="I130" s="35"/>
      <c r="J130" s="35" t="s">
        <v>35</v>
      </c>
      <c r="K130" s="35">
        <v>30</v>
      </c>
      <c r="L130" s="35">
        <v>770348912</v>
      </c>
      <c r="M130" s="35" t="s">
        <v>76</v>
      </c>
      <c r="N130" s="35"/>
      <c r="O130" s="35" t="s">
        <v>758</v>
      </c>
      <c r="P130" s="35"/>
      <c r="Q130" s="35"/>
      <c r="R130" s="35"/>
      <c r="S130" s="39"/>
      <c r="T130" s="66"/>
    </row>
    <row r="131" spans="2:20">
      <c r="B131" s="35" t="s">
        <v>759</v>
      </c>
      <c r="C131" s="35"/>
      <c r="D131" s="36"/>
      <c r="E131" s="35" t="s">
        <v>760</v>
      </c>
      <c r="F131" s="35" t="s">
        <v>761</v>
      </c>
      <c r="G131" s="35" t="s">
        <v>762</v>
      </c>
      <c r="H131" s="35"/>
      <c r="I131" s="35"/>
      <c r="J131" s="35" t="s">
        <v>114</v>
      </c>
      <c r="K131" s="35"/>
      <c r="L131" s="35">
        <v>880457469</v>
      </c>
      <c r="M131" s="35" t="s">
        <v>76</v>
      </c>
      <c r="N131" s="35"/>
      <c r="O131" s="35" t="s">
        <v>763</v>
      </c>
      <c r="P131" s="35"/>
      <c r="Q131" s="35"/>
      <c r="R131" s="35"/>
      <c r="S131" s="39"/>
      <c r="T131" s="66"/>
    </row>
    <row r="132" spans="2:20">
      <c r="B132" s="35" t="s">
        <v>764</v>
      </c>
      <c r="C132" s="35"/>
      <c r="D132" s="36"/>
      <c r="E132" s="35"/>
      <c r="F132" s="35" t="s">
        <v>765</v>
      </c>
      <c r="G132" s="35" t="s">
        <v>766</v>
      </c>
      <c r="H132" s="35" t="s">
        <v>767</v>
      </c>
      <c r="I132" s="35"/>
      <c r="J132" s="35" t="s">
        <v>35</v>
      </c>
      <c r="K132" s="35">
        <v>83</v>
      </c>
      <c r="L132" s="35">
        <v>454001403</v>
      </c>
      <c r="M132" s="35" t="s">
        <v>76</v>
      </c>
      <c r="N132" s="35"/>
      <c r="O132" s="35" t="s">
        <v>768</v>
      </c>
      <c r="P132" s="35"/>
      <c r="Q132" s="35"/>
      <c r="R132" s="35"/>
      <c r="S132" s="39"/>
      <c r="T132" s="66"/>
    </row>
    <row r="133" spans="2:20">
      <c r="B133" s="35" t="s">
        <v>769</v>
      </c>
      <c r="C133" s="35"/>
      <c r="D133" s="36"/>
      <c r="E133" s="35" t="s">
        <v>770</v>
      </c>
      <c r="F133" s="35" t="s">
        <v>771</v>
      </c>
      <c r="G133" s="35" t="s">
        <v>771</v>
      </c>
      <c r="H133" s="35" t="s">
        <v>772</v>
      </c>
      <c r="I133" s="35"/>
      <c r="J133" s="35" t="s">
        <v>35</v>
      </c>
      <c r="K133" s="35">
        <v>24</v>
      </c>
      <c r="L133" s="35">
        <v>946069482</v>
      </c>
      <c r="M133" s="35" t="s">
        <v>76</v>
      </c>
      <c r="N133" s="35"/>
      <c r="O133" s="35" t="s">
        <v>773</v>
      </c>
      <c r="P133" s="35"/>
      <c r="Q133" s="35"/>
      <c r="R133" s="35"/>
      <c r="S133" s="39"/>
      <c r="T133" s="66"/>
    </row>
    <row r="134" spans="2:20">
      <c r="B134" s="35" t="s">
        <v>774</v>
      </c>
      <c r="C134" s="35"/>
      <c r="D134" s="36"/>
      <c r="E134" s="35" t="s">
        <v>775</v>
      </c>
      <c r="F134" s="35" t="s">
        <v>776</v>
      </c>
      <c r="G134" s="35" t="s">
        <v>777</v>
      </c>
      <c r="H134" s="35" t="s">
        <v>778</v>
      </c>
      <c r="I134" s="35"/>
      <c r="J134" s="35" t="s">
        <v>35</v>
      </c>
      <c r="K134" s="35">
        <v>56</v>
      </c>
      <c r="L134" s="35">
        <v>471247608</v>
      </c>
      <c r="M134" s="35" t="s">
        <v>76</v>
      </c>
      <c r="N134" s="35"/>
      <c r="O134" s="35" t="s">
        <v>779</v>
      </c>
      <c r="P134" s="35"/>
      <c r="Q134" s="35"/>
      <c r="R134" s="35"/>
      <c r="S134" s="39"/>
      <c r="T134" s="66"/>
    </row>
    <row r="135" spans="2:20">
      <c r="B135" s="35" t="s">
        <v>780</v>
      </c>
      <c r="C135" s="35"/>
      <c r="D135" s="36"/>
      <c r="E135" s="35"/>
      <c r="F135" s="35" t="s">
        <v>781</v>
      </c>
      <c r="G135" s="35" t="s">
        <v>782</v>
      </c>
      <c r="H135" s="35"/>
      <c r="I135" s="35"/>
      <c r="J135" s="35" t="s">
        <v>35</v>
      </c>
      <c r="K135" s="35">
        <v>31</v>
      </c>
      <c r="L135" s="35">
        <v>812727904</v>
      </c>
      <c r="M135" s="35" t="s">
        <v>76</v>
      </c>
      <c r="N135" s="35"/>
      <c r="O135" s="35" t="s">
        <v>783</v>
      </c>
      <c r="P135" s="35"/>
      <c r="Q135" s="35"/>
      <c r="R135" s="35"/>
      <c r="S135" s="39"/>
      <c r="T135" s="66"/>
    </row>
    <row r="136" spans="2:20">
      <c r="B136" s="35" t="s">
        <v>784</v>
      </c>
      <c r="C136" s="35"/>
      <c r="D136" s="36"/>
      <c r="E136" s="35" t="s">
        <v>785</v>
      </c>
      <c r="F136" s="35" t="s">
        <v>786</v>
      </c>
      <c r="G136" s="35" t="s">
        <v>142</v>
      </c>
      <c r="H136" s="35"/>
      <c r="I136" s="35"/>
      <c r="J136" s="35" t="s">
        <v>35</v>
      </c>
      <c r="K136" s="35">
        <v>28</v>
      </c>
      <c r="L136" s="35">
        <v>946068564</v>
      </c>
      <c r="M136" s="35" t="s">
        <v>60</v>
      </c>
      <c r="N136" s="35"/>
      <c r="O136" s="35" t="s">
        <v>787</v>
      </c>
      <c r="P136" s="35"/>
      <c r="Q136" s="35"/>
      <c r="R136" s="35"/>
      <c r="S136" s="39"/>
      <c r="T136" s="66"/>
    </row>
    <row r="137" spans="2:20">
      <c r="B137" s="35" t="s">
        <v>788</v>
      </c>
      <c r="C137" s="35" t="e">
        <f>_xlfn.XLOOKUP(Table1[[#This Row],[EIN]],Sheet5!#REF!,Sheet5!#REF!)</f>
        <v>#REF!</v>
      </c>
      <c r="D137" s="36"/>
      <c r="E137" s="35" t="s">
        <v>789</v>
      </c>
      <c r="F137" s="35" t="s">
        <v>790</v>
      </c>
      <c r="G137" s="35" t="s">
        <v>791</v>
      </c>
      <c r="H137" s="35" t="s">
        <v>792</v>
      </c>
      <c r="I137" s="35" t="s">
        <v>793</v>
      </c>
      <c r="J137" s="35" t="e">
        <v>#N/A</v>
      </c>
      <c r="K137" s="35">
        <v>73</v>
      </c>
      <c r="L137" s="35">
        <v>320103899</v>
      </c>
      <c r="M137" s="35" t="s">
        <v>60</v>
      </c>
      <c r="N137" s="35"/>
      <c r="O137" s="35" t="s">
        <v>794</v>
      </c>
      <c r="P137" s="35"/>
      <c r="Q137" s="35"/>
      <c r="R137" s="35"/>
      <c r="S137" s="39"/>
      <c r="T137" s="66"/>
    </row>
    <row r="138" spans="2:20">
      <c r="B138" s="35" t="s">
        <v>795</v>
      </c>
      <c r="C138" s="35" t="e">
        <f>_xlfn.XLOOKUP(Table1[[#This Row],[EIN]],Sheet5!#REF!,Sheet5!#REF!)</f>
        <v>#REF!</v>
      </c>
      <c r="D138" s="36"/>
      <c r="E138" s="35" t="s">
        <v>514</v>
      </c>
      <c r="F138" s="35" t="s">
        <v>796</v>
      </c>
      <c r="G138" s="35" t="s">
        <v>274</v>
      </c>
      <c r="H138" s="35" t="s">
        <v>517</v>
      </c>
      <c r="I138" s="35" t="s">
        <v>34</v>
      </c>
      <c r="J138" s="35" t="s">
        <v>35</v>
      </c>
      <c r="K138" s="35">
        <v>61</v>
      </c>
      <c r="L138" s="35">
        <v>956054814</v>
      </c>
      <c r="M138" s="35" t="s">
        <v>60</v>
      </c>
      <c r="N138" s="35"/>
      <c r="O138" s="35" t="s">
        <v>797</v>
      </c>
      <c r="P138" s="35"/>
      <c r="Q138" s="35"/>
      <c r="R138" s="35"/>
      <c r="S138" s="39"/>
      <c r="T138" s="66"/>
    </row>
    <row r="139" spans="2:20">
      <c r="B139" s="35"/>
      <c r="C139" s="35"/>
      <c r="D139" s="36"/>
      <c r="E139" s="35"/>
      <c r="F139" s="35"/>
      <c r="G139" s="35"/>
      <c r="H139" s="35"/>
      <c r="I139" s="35"/>
      <c r="J139" s="35">
        <v>0</v>
      </c>
      <c r="K139" s="35"/>
      <c r="L139" s="35"/>
      <c r="M139" s="35"/>
      <c r="N139" s="35"/>
      <c r="O139" s="35"/>
      <c r="P139" s="35"/>
      <c r="Q139" s="35"/>
      <c r="R139" s="35"/>
      <c r="S139" s="39"/>
      <c r="T139" s="66"/>
    </row>
    <row r="140" spans="2:20">
      <c r="B140" s="35"/>
      <c r="C140" s="35"/>
      <c r="D140" s="36"/>
      <c r="E140" s="35"/>
      <c r="F140" s="35"/>
      <c r="G140" s="35"/>
      <c r="H140" s="35"/>
      <c r="I140" s="35"/>
      <c r="J140" s="35">
        <v>0</v>
      </c>
      <c r="K140" s="35"/>
      <c r="L140" s="35"/>
      <c r="M140" s="35"/>
      <c r="N140" s="35"/>
      <c r="O140" s="35"/>
      <c r="P140" s="35"/>
      <c r="Q140" s="35"/>
      <c r="R140" s="35"/>
      <c r="S140" s="39"/>
      <c r="T140" s="66"/>
    </row>
    <row r="141" spans="2:20">
      <c r="B141" s="35"/>
      <c r="C141" s="35"/>
      <c r="D141" s="36"/>
      <c r="E141" s="35"/>
      <c r="F141" s="35"/>
      <c r="G141" s="35"/>
      <c r="H141" s="35"/>
      <c r="I141" s="35"/>
      <c r="J141" s="35">
        <v>0</v>
      </c>
      <c r="K141" s="35"/>
      <c r="L141" s="35"/>
      <c r="M141" s="35"/>
      <c r="N141" s="35"/>
      <c r="O141" s="35"/>
      <c r="P141" s="35"/>
      <c r="Q141" s="35"/>
      <c r="R141" s="35"/>
      <c r="S141" s="39"/>
      <c r="T141" s="66"/>
    </row>
    <row r="142" spans="2:20">
      <c r="B142" s="35"/>
      <c r="C142" s="35"/>
      <c r="D142" s="36"/>
      <c r="E142" s="35"/>
      <c r="F142" s="35"/>
      <c r="G142" s="35"/>
      <c r="H142" s="35"/>
      <c r="I142" s="35"/>
      <c r="J142" s="35">
        <v>0</v>
      </c>
      <c r="K142" s="35"/>
      <c r="L142" s="35"/>
      <c r="M142" s="35"/>
      <c r="N142" s="35"/>
      <c r="O142" s="35"/>
      <c r="P142" s="35"/>
      <c r="Q142" s="35"/>
      <c r="R142" s="35"/>
      <c r="S142" s="39"/>
      <c r="T142" s="66"/>
    </row>
    <row r="143" spans="2:20">
      <c r="B143" s="35"/>
      <c r="C143" s="35"/>
      <c r="D143" s="36"/>
      <c r="E143" s="35"/>
      <c r="F143" s="35"/>
      <c r="G143" s="35"/>
      <c r="H143" s="35"/>
      <c r="I143" s="35"/>
      <c r="J143" s="35">
        <v>0</v>
      </c>
      <c r="K143" s="35"/>
      <c r="L143" s="35"/>
      <c r="M143" s="35"/>
      <c r="N143" s="35"/>
      <c r="O143" s="35"/>
      <c r="P143" s="35"/>
      <c r="Q143" s="35"/>
      <c r="R143" s="35"/>
      <c r="S143" s="39"/>
      <c r="T143" s="66"/>
    </row>
    <row r="144" spans="2:20">
      <c r="B144" s="35"/>
      <c r="C144" s="35"/>
      <c r="D144" s="36"/>
      <c r="E144" s="35"/>
      <c r="F144" s="35"/>
      <c r="G144" s="35"/>
      <c r="H144" s="35"/>
      <c r="I144" s="35"/>
      <c r="J144" s="35">
        <v>0</v>
      </c>
      <c r="K144" s="35"/>
      <c r="L144" s="35"/>
      <c r="M144" s="35"/>
      <c r="N144" s="35"/>
      <c r="O144" s="35"/>
      <c r="P144" s="35"/>
      <c r="Q144" s="35"/>
      <c r="R144" s="35"/>
      <c r="S144" s="39"/>
      <c r="T144" s="66"/>
    </row>
    <row r="145" spans="2:20">
      <c r="B145" s="35"/>
      <c r="C145" s="35"/>
      <c r="D145" s="36"/>
      <c r="E145" s="35"/>
      <c r="F145" s="35"/>
      <c r="G145" s="35"/>
      <c r="H145" s="35"/>
      <c r="I145" s="35"/>
      <c r="J145" s="35">
        <v>0</v>
      </c>
      <c r="K145" s="35"/>
      <c r="L145" s="35"/>
      <c r="M145" s="35"/>
      <c r="N145" s="35"/>
      <c r="O145" s="35"/>
      <c r="P145" s="35"/>
      <c r="Q145" s="35"/>
      <c r="R145" s="35"/>
      <c r="S145" s="39"/>
      <c r="T145" s="66"/>
    </row>
    <row r="146" spans="2:20">
      <c r="B146" s="35"/>
      <c r="C146" s="35"/>
      <c r="D146" s="36"/>
      <c r="E146" s="35"/>
      <c r="F146" s="35"/>
      <c r="G146" s="35"/>
      <c r="H146" s="35"/>
      <c r="I146" s="35"/>
      <c r="J146" s="35">
        <v>0</v>
      </c>
      <c r="K146" s="35"/>
      <c r="L146" s="35"/>
      <c r="M146" s="35"/>
      <c r="N146" s="35"/>
      <c r="O146" s="35"/>
      <c r="P146" s="35"/>
      <c r="Q146" s="35"/>
      <c r="R146" s="35"/>
      <c r="S146" s="39"/>
      <c r="T146" s="66"/>
    </row>
    <row r="147" spans="2:20">
      <c r="B147" s="35"/>
      <c r="C147" s="35"/>
      <c r="D147" s="36"/>
      <c r="E147" s="35"/>
      <c r="F147" s="35"/>
      <c r="G147" s="35"/>
      <c r="H147" s="35"/>
      <c r="I147" s="35"/>
      <c r="J147" s="35">
        <v>0</v>
      </c>
      <c r="K147" s="35"/>
      <c r="L147" s="35"/>
      <c r="M147" s="35"/>
      <c r="N147" s="35"/>
      <c r="O147" s="35"/>
      <c r="P147" s="35"/>
      <c r="Q147" s="35"/>
      <c r="R147" s="35"/>
      <c r="S147" s="39"/>
      <c r="T147" s="66"/>
    </row>
    <row r="148" spans="2:20">
      <c r="B148" s="35"/>
      <c r="C148" s="35"/>
      <c r="D148" s="36"/>
      <c r="E148" s="35"/>
      <c r="F148" s="35"/>
      <c r="G148" s="35"/>
      <c r="H148" s="35"/>
      <c r="I148" s="35"/>
      <c r="J148" s="35">
        <v>0</v>
      </c>
      <c r="K148" s="35"/>
      <c r="L148" s="35"/>
      <c r="M148" s="35"/>
      <c r="N148" s="35"/>
      <c r="O148" s="35"/>
      <c r="P148" s="35"/>
      <c r="Q148" s="35"/>
      <c r="R148" s="35"/>
      <c r="S148" s="39"/>
      <c r="T148" s="66"/>
    </row>
    <row r="149" spans="2:20">
      <c r="B149" s="35"/>
      <c r="C149" s="35"/>
      <c r="D149" s="36"/>
      <c r="E149" s="35"/>
      <c r="F149" s="35"/>
      <c r="G149" s="35"/>
      <c r="H149" s="35"/>
      <c r="I149" s="35"/>
      <c r="J149" s="35">
        <v>0</v>
      </c>
      <c r="K149" s="35"/>
      <c r="L149" s="35"/>
      <c r="M149" s="35"/>
      <c r="N149" s="35"/>
      <c r="O149" s="35"/>
      <c r="P149" s="35"/>
      <c r="Q149" s="35"/>
      <c r="R149" s="35"/>
      <c r="S149" s="39"/>
      <c r="T149" s="66"/>
    </row>
    <row r="150" spans="2:20">
      <c r="B150" s="35"/>
      <c r="C150" s="35"/>
      <c r="D150" s="36"/>
      <c r="E150" s="35"/>
      <c r="F150" s="35"/>
      <c r="G150" s="35"/>
      <c r="H150" s="35"/>
      <c r="I150" s="35"/>
      <c r="J150" s="35">
        <v>0</v>
      </c>
      <c r="K150" s="35"/>
      <c r="L150" s="35"/>
      <c r="M150" s="35"/>
      <c r="N150" s="35"/>
      <c r="O150" s="35"/>
      <c r="P150" s="35"/>
      <c r="Q150" s="35"/>
      <c r="R150" s="35"/>
      <c r="S150" s="39"/>
      <c r="T150" s="66"/>
    </row>
    <row r="151" spans="2:20">
      <c r="B151" s="35"/>
      <c r="C151" s="35"/>
      <c r="D151" s="36"/>
      <c r="E151" s="35"/>
      <c r="F151" s="35"/>
      <c r="G151" s="35"/>
      <c r="H151" s="35"/>
      <c r="I151" s="35"/>
      <c r="J151" s="35">
        <v>0</v>
      </c>
      <c r="K151" s="35"/>
      <c r="L151" s="35"/>
      <c r="M151" s="35"/>
      <c r="N151" s="35"/>
      <c r="O151" s="35"/>
      <c r="P151" s="35"/>
      <c r="Q151" s="35"/>
      <c r="R151" s="35"/>
      <c r="S151" s="39"/>
      <c r="T151" s="66"/>
    </row>
    <row r="152" spans="2:20">
      <c r="B152" s="35"/>
      <c r="C152" s="35"/>
      <c r="D152" s="36"/>
      <c r="E152" s="35"/>
      <c r="F152" s="35"/>
      <c r="G152" s="35"/>
      <c r="H152" s="35"/>
      <c r="I152" s="35"/>
      <c r="J152" s="35">
        <v>0</v>
      </c>
      <c r="K152" s="35"/>
      <c r="L152" s="35"/>
      <c r="M152" s="35"/>
      <c r="N152" s="35"/>
      <c r="O152" s="35"/>
      <c r="P152" s="35"/>
      <c r="Q152" s="35"/>
      <c r="R152" s="35"/>
      <c r="S152" s="39"/>
      <c r="T152" s="66"/>
    </row>
    <row r="153" spans="2:20">
      <c r="B153" s="35"/>
      <c r="C153" s="35"/>
      <c r="D153" s="36"/>
      <c r="E153" s="35"/>
      <c r="F153" s="35"/>
      <c r="G153" s="35"/>
      <c r="H153" s="35"/>
      <c r="I153" s="35"/>
      <c r="J153" s="35">
        <v>0</v>
      </c>
      <c r="K153" s="35"/>
      <c r="L153" s="35"/>
      <c r="M153" s="35"/>
      <c r="N153" s="35"/>
      <c r="O153" s="35"/>
      <c r="P153" s="35"/>
      <c r="Q153" s="35"/>
      <c r="R153" s="35"/>
      <c r="S153" s="39"/>
      <c r="T153" s="66"/>
    </row>
    <row r="154" spans="2:20">
      <c r="B154" s="35"/>
      <c r="C154" s="35"/>
      <c r="D154" s="36"/>
      <c r="E154" s="35"/>
      <c r="F154" s="35"/>
      <c r="G154" s="35"/>
      <c r="H154" s="35"/>
      <c r="I154" s="35"/>
      <c r="J154" s="35">
        <v>0</v>
      </c>
      <c r="K154" s="35"/>
      <c r="L154" s="35"/>
      <c r="M154" s="35"/>
      <c r="N154" s="35"/>
      <c r="O154" s="35"/>
      <c r="P154" s="35"/>
      <c r="Q154" s="35"/>
      <c r="R154" s="35"/>
      <c r="S154" s="39"/>
      <c r="T154" s="66"/>
    </row>
    <row r="155" spans="2:20">
      <c r="B155" s="35"/>
      <c r="C155" s="35"/>
      <c r="D155" s="36"/>
      <c r="E155" s="35"/>
      <c r="F155" s="35"/>
      <c r="G155" s="35"/>
      <c r="H155" s="35"/>
      <c r="I155" s="35"/>
      <c r="J155" s="35">
        <v>0</v>
      </c>
      <c r="K155" s="35"/>
      <c r="L155" s="35"/>
      <c r="M155" s="35"/>
      <c r="N155" s="35"/>
      <c r="O155" s="35"/>
      <c r="P155" s="35"/>
      <c r="Q155" s="35"/>
      <c r="R155" s="35"/>
      <c r="S155" s="39"/>
      <c r="T155" s="66"/>
    </row>
    <row r="156" spans="2:20">
      <c r="B156" s="37"/>
      <c r="C156" s="37"/>
      <c r="D156" s="36"/>
      <c r="E156" s="37"/>
      <c r="F156" s="37"/>
      <c r="G156" s="37"/>
      <c r="H156" s="37"/>
      <c r="I156" s="37"/>
      <c r="J156" s="37">
        <v>0</v>
      </c>
      <c r="K156" s="37"/>
      <c r="L156" s="37"/>
      <c r="M156" s="35"/>
      <c r="N156" s="42"/>
      <c r="O156" s="37"/>
      <c r="P156" s="37"/>
      <c r="Q156" s="43"/>
      <c r="R156" s="37"/>
      <c r="S156" s="39"/>
      <c r="T156" s="49"/>
    </row>
    <row r="157" spans="2:20">
      <c r="B157" s="37"/>
      <c r="C157" s="37"/>
      <c r="D157" s="36"/>
      <c r="E157" s="37"/>
      <c r="F157" s="37"/>
      <c r="G157" s="37"/>
      <c r="H157" s="37"/>
      <c r="I157" s="37"/>
      <c r="J157" s="37">
        <v>0</v>
      </c>
      <c r="K157" s="37"/>
      <c r="L157" s="37"/>
      <c r="M157" s="35"/>
      <c r="N157" s="42"/>
      <c r="O157" s="37"/>
      <c r="P157" s="37"/>
      <c r="Q157" s="43"/>
      <c r="R157" s="37"/>
      <c r="S157" s="39"/>
      <c r="T157" s="49"/>
    </row>
    <row r="158" spans="2:20">
      <c r="B158" s="37"/>
      <c r="C158" s="37"/>
      <c r="D158" s="36"/>
      <c r="E158" s="37"/>
      <c r="F158" s="37"/>
      <c r="G158" s="37"/>
      <c r="H158" s="37"/>
      <c r="I158" s="37"/>
      <c r="J158" s="37">
        <v>0</v>
      </c>
      <c r="K158" s="37"/>
      <c r="L158" s="37"/>
      <c r="M158" s="35"/>
      <c r="N158" s="42"/>
      <c r="O158" s="37"/>
      <c r="P158" s="37"/>
      <c r="Q158" s="43"/>
      <c r="R158" s="37"/>
      <c r="S158" s="39"/>
      <c r="T158" s="49"/>
    </row>
    <row r="159" spans="2:20">
      <c r="B159" s="37"/>
      <c r="C159" s="37"/>
      <c r="D159" s="36"/>
      <c r="E159" s="37"/>
      <c r="F159" s="37"/>
      <c r="G159" s="37"/>
      <c r="H159" s="37"/>
      <c r="I159" s="37"/>
      <c r="J159" s="37">
        <v>0</v>
      </c>
      <c r="K159" s="37"/>
      <c r="L159" s="37"/>
      <c r="M159" s="35"/>
      <c r="N159" s="42"/>
      <c r="O159" s="37"/>
      <c r="P159" s="37"/>
      <c r="Q159" s="43"/>
      <c r="R159" s="37"/>
      <c r="S159" s="39"/>
      <c r="T159" s="49"/>
    </row>
    <row r="160" spans="2:20">
      <c r="B160" s="37"/>
      <c r="C160" s="37"/>
      <c r="D160" s="36"/>
      <c r="E160" s="37"/>
      <c r="F160" s="37"/>
      <c r="G160" s="37"/>
      <c r="H160" s="37"/>
      <c r="I160" s="37"/>
      <c r="J160" s="37">
        <v>0</v>
      </c>
      <c r="K160" s="37"/>
      <c r="L160" s="37"/>
      <c r="M160" s="35"/>
      <c r="N160" s="42"/>
      <c r="O160" s="37"/>
      <c r="P160" s="37"/>
      <c r="Q160" s="43"/>
      <c r="R160" s="37"/>
      <c r="S160" s="39"/>
      <c r="T160" s="49"/>
    </row>
    <row r="161" spans="2:20">
      <c r="B161" s="37"/>
      <c r="C161" s="37"/>
      <c r="D161" s="36"/>
      <c r="E161" s="37"/>
      <c r="F161" s="37"/>
      <c r="G161" s="37"/>
      <c r="H161" s="37"/>
      <c r="I161" s="37"/>
      <c r="J161" s="37">
        <v>0</v>
      </c>
      <c r="K161" s="37"/>
      <c r="L161" s="37"/>
      <c r="M161" s="35"/>
      <c r="N161" s="42"/>
      <c r="O161" s="37"/>
      <c r="P161" s="37"/>
      <c r="Q161" s="43"/>
      <c r="R161" s="37"/>
      <c r="S161" s="39"/>
      <c r="T161" s="49"/>
    </row>
    <row r="162" spans="2:20">
      <c r="B162" s="37"/>
      <c r="C162" s="37"/>
      <c r="D162" s="36"/>
      <c r="E162" s="37"/>
      <c r="F162" s="37"/>
      <c r="G162" s="37"/>
      <c r="H162" s="37"/>
      <c r="I162" s="37"/>
      <c r="J162" s="37">
        <v>0</v>
      </c>
      <c r="K162" s="37"/>
      <c r="L162" s="37"/>
      <c r="M162" s="35"/>
      <c r="N162" s="42"/>
      <c r="O162" s="37"/>
      <c r="P162" s="37"/>
      <c r="Q162" s="43"/>
      <c r="R162" s="37"/>
      <c r="S162" s="39"/>
      <c r="T162" s="49"/>
    </row>
    <row r="163" spans="2:20">
      <c r="B163" s="37"/>
      <c r="C163" s="37"/>
      <c r="D163" s="36"/>
      <c r="E163" s="37"/>
      <c r="F163" s="37"/>
      <c r="G163" s="37"/>
      <c r="H163" s="37"/>
      <c r="I163" s="37"/>
      <c r="J163" s="37">
        <v>0</v>
      </c>
      <c r="K163" s="37"/>
      <c r="L163" s="37"/>
      <c r="M163" s="35"/>
      <c r="N163" s="42"/>
      <c r="O163" s="37"/>
      <c r="P163" s="37"/>
      <c r="Q163" s="43"/>
      <c r="R163" s="37"/>
      <c r="S163" s="39"/>
      <c r="T163" s="49"/>
    </row>
    <row r="164" spans="2:20">
      <c r="B164" s="37"/>
      <c r="C164" s="37"/>
      <c r="D164" s="36"/>
      <c r="E164" s="37"/>
      <c r="F164" s="37"/>
      <c r="G164" s="37"/>
      <c r="H164" s="37"/>
      <c r="I164" s="37"/>
      <c r="J164" s="37">
        <v>0</v>
      </c>
      <c r="K164" s="37"/>
      <c r="L164" s="37"/>
      <c r="M164" s="35"/>
      <c r="N164" s="42"/>
      <c r="O164" s="37"/>
      <c r="P164" s="37"/>
      <c r="Q164" s="43"/>
      <c r="R164" s="37"/>
      <c r="S164" s="39"/>
      <c r="T164" s="49"/>
    </row>
    <row r="165" spans="2:20">
      <c r="B165" s="37"/>
      <c r="C165" s="37"/>
      <c r="D165" s="36"/>
      <c r="E165" s="37"/>
      <c r="F165" s="37"/>
      <c r="G165" s="37"/>
      <c r="H165" s="37"/>
      <c r="I165" s="37"/>
      <c r="J165" s="37">
        <v>0</v>
      </c>
      <c r="K165" s="37"/>
      <c r="L165" s="37"/>
      <c r="M165" s="35"/>
      <c r="N165" s="42"/>
      <c r="O165" s="37"/>
      <c r="P165" s="37"/>
      <c r="Q165" s="43"/>
      <c r="R165" s="37"/>
      <c r="S165" s="39"/>
      <c r="T165" s="49"/>
    </row>
    <row r="166" spans="2:20">
      <c r="B166" s="37"/>
      <c r="C166" s="37"/>
      <c r="D166" s="36"/>
      <c r="E166" s="37"/>
      <c r="F166" s="37"/>
      <c r="G166" s="37"/>
      <c r="H166" s="37"/>
      <c r="I166" s="37"/>
      <c r="J166" s="37">
        <v>0</v>
      </c>
      <c r="K166" s="37"/>
      <c r="L166" s="37"/>
      <c r="M166" s="35"/>
      <c r="N166" s="42"/>
      <c r="O166" s="37"/>
      <c r="P166" s="37"/>
      <c r="Q166" s="43"/>
      <c r="R166" s="37"/>
      <c r="S166" s="39"/>
      <c r="T166" s="49"/>
    </row>
    <row r="167" spans="2:20">
      <c r="B167" s="37"/>
      <c r="C167" s="37"/>
      <c r="D167" s="36"/>
      <c r="E167" s="37"/>
      <c r="F167" s="37"/>
      <c r="G167" s="37"/>
      <c r="H167" s="37"/>
      <c r="I167" s="37"/>
      <c r="J167" s="37">
        <v>0</v>
      </c>
      <c r="K167" s="37"/>
      <c r="L167" s="37"/>
      <c r="M167" s="35"/>
      <c r="N167" s="42"/>
      <c r="O167" s="37"/>
      <c r="P167" s="37"/>
      <c r="Q167" s="43"/>
      <c r="R167" s="37"/>
      <c r="S167" s="39"/>
      <c r="T167" s="49"/>
    </row>
    <row r="168" spans="2:20">
      <c r="B168" s="71"/>
      <c r="C168" s="71"/>
      <c r="D168" s="65"/>
      <c r="E168" s="71"/>
      <c r="F168" s="71"/>
      <c r="G168" s="71"/>
      <c r="H168" s="71"/>
      <c r="I168" s="71"/>
      <c r="J168" s="71">
        <v>0</v>
      </c>
      <c r="K168" s="71"/>
      <c r="L168" s="71"/>
      <c r="M168" s="50"/>
      <c r="N168" s="72"/>
      <c r="O168" s="71"/>
      <c r="P168" s="71"/>
      <c r="Q168" s="73"/>
      <c r="R168" s="71"/>
      <c r="S168" s="71"/>
      <c r="T168" s="74"/>
    </row>
  </sheetData>
  <conditionalFormatting sqref="B64:J69 L64:O69 Q64:T70 B70:O70 B71:T168 B2:T63">
    <cfRule type="expression" dxfId="33" priority="16">
      <formula>LEFT($S2,1)="5"</formula>
    </cfRule>
    <cfRule type="expression" dxfId="32" priority="17">
      <formula>LEFT($S2,1)="4"</formula>
    </cfRule>
    <cfRule type="expression" dxfId="31" priority="18">
      <formula>LEFT($S2,1)="3"</formula>
    </cfRule>
    <cfRule type="expression" dxfId="30" priority="19">
      <formula>LEFT($S2,1)="2"</formula>
    </cfRule>
    <cfRule type="expression" dxfId="29" priority="20">
      <formula>LEFT($S2,1)="1"</formula>
    </cfRule>
  </conditionalFormatting>
  <dataValidations count="1">
    <dataValidation type="date" allowBlank="1" showInputMessage="1" showErrorMessage="1" sqref="D3:D168" xr:uid="{AF8A1C11-AFDD-42DD-9691-0F03A57A9E98}">
      <formula1>45658</formula1>
      <formula2>46388</formula2>
    </dataValidation>
  </dataValidations>
  <hyperlinks>
    <hyperlink ref="N34" r:id="rId1" xr:uid="{729C4FF0-52EF-4B3A-A660-CCFCA9B821EB}"/>
    <hyperlink ref="H25" r:id="rId2" xr:uid="{C551A082-9C29-4679-9317-95C4DFAF3839}"/>
    <hyperlink ref="H100" r:id="rId3" xr:uid="{AEB4AED4-B5A0-444B-A0A1-B8F1ABF5B061}"/>
    <hyperlink ref="H80" r:id="rId4" xr:uid="{1E881707-12B3-47F5-B555-5AAED9426CB8}"/>
    <hyperlink ref="H17" r:id="rId5" xr:uid="{DECD8D70-A316-4A53-A76D-19761A1319B0}"/>
    <hyperlink ref="H54" r:id="rId6" xr:uid="{1DBA6B60-371F-4F4F-97E7-3C86000E68A0}"/>
    <hyperlink ref="H85" r:id="rId7" xr:uid="{7DC5650D-4247-4B17-88B4-62EBFABD7B19}"/>
    <hyperlink ref="H21" r:id="rId8" xr:uid="{2AD8EEC9-8231-4BEF-A697-0BC7A728EBCC}"/>
    <hyperlink ref="H65" r:id="rId9" xr:uid="{0A9FC7B0-E88A-4DE9-8121-14E06E19F0D3}"/>
    <hyperlink ref="H43" r:id="rId10" xr:uid="{B779C413-BE48-44BB-B4E3-A7770CD75EBE}"/>
    <hyperlink ref="H22" r:id="rId11" xr:uid="{CEAC7E32-54B6-42DC-A089-E10FFC792727}"/>
    <hyperlink ref="H7" r:id="rId12" xr:uid="{37C02146-07C1-42DC-8BC1-445855E8E0C8}"/>
    <hyperlink ref="H4" r:id="rId13" xr:uid="{E61F2705-D960-4794-A8E7-5A5369A92B7B}"/>
    <hyperlink ref="T19" r:id="rId14" xr:uid="{0D10107D-4354-9843-8063-774FA46ADF90}"/>
    <hyperlink ref="H8" r:id="rId15" xr:uid="{4DF62712-43AE-4697-A265-C6F36FC51412}"/>
    <hyperlink ref="H19" r:id="rId16" xr:uid="{9654BBC6-A1A8-4417-B49D-9792A0ACDAF1}"/>
  </hyperlinks>
  <pageMargins left="0.75" right="0.75" top="1" bottom="1" header="0.5" footer="0.5"/>
  <tableParts count="1">
    <tablePart r:id="rId17"/>
  </tableParts>
  <extLst>
    <ext xmlns:x14="http://schemas.microsoft.com/office/spreadsheetml/2009/9/main" uri="{CCE6A557-97BC-4b89-ADB6-D9C93CAAB3DF}">
      <x14:dataValidations xmlns:xm="http://schemas.microsoft.com/office/excel/2006/main" count="1">
        <x14:dataValidation type="list" allowBlank="1" showInputMessage="1" showErrorMessage="1" xr:uid="{C5A978E2-9289-4CEF-871C-7496AB23268F}">
          <x14:formula1>
            <xm:f>Sheet1!$B$2:$B$6</xm:f>
          </x14:formula1>
          <xm:sqref>S3:S168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77CB4-9EF0-4A74-B622-512277A6A83E}">
  <dimension ref="B2:B6"/>
  <sheetViews>
    <sheetView workbookViewId="0">
      <selection activeCell="B7" sqref="B7"/>
    </sheetView>
  </sheetViews>
  <sheetFormatPr defaultRowHeight="15"/>
  <sheetData>
    <row r="2" spans="2:2">
      <c r="B2" t="s">
        <v>529</v>
      </c>
    </row>
    <row r="3" spans="2:2">
      <c r="B3" t="s">
        <v>167</v>
      </c>
    </row>
    <row r="4" spans="2:2">
      <c r="B4" t="s">
        <v>93</v>
      </c>
    </row>
    <row r="5" spans="2:2">
      <c r="B5" t="s">
        <v>46</v>
      </c>
    </row>
    <row r="6" spans="2:2">
      <c r="B6" t="s">
        <v>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58AC8-2A88-4E6E-8C73-1849F442F2D5}">
  <dimension ref="B2:S19"/>
  <sheetViews>
    <sheetView workbookViewId="0">
      <selection activeCell="N7" sqref="N7:O7"/>
    </sheetView>
  </sheetViews>
  <sheetFormatPr defaultRowHeight="15"/>
  <cols>
    <col min="15" max="15" width="20" customWidth="1"/>
    <col min="16" max="16" width="20.5703125" customWidth="1"/>
  </cols>
  <sheetData>
    <row r="2" spans="2:19">
      <c r="B2" s="19" t="s">
        <v>0</v>
      </c>
      <c r="C2" s="20" t="s">
        <v>798</v>
      </c>
      <c r="D2" s="20" t="s">
        <v>799</v>
      </c>
      <c r="E2" s="20" t="s">
        <v>11</v>
      </c>
      <c r="F2" s="20" t="s">
        <v>800</v>
      </c>
      <c r="G2" s="20" t="s">
        <v>801</v>
      </c>
      <c r="H2" s="20" t="s">
        <v>7</v>
      </c>
      <c r="I2" s="20" t="s">
        <v>10</v>
      </c>
      <c r="J2" s="20" t="s">
        <v>802</v>
      </c>
      <c r="K2" s="20" t="s">
        <v>803</v>
      </c>
      <c r="L2" s="20" t="s">
        <v>804</v>
      </c>
      <c r="M2" s="20" t="s">
        <v>805</v>
      </c>
      <c r="N2" s="20" t="s">
        <v>806</v>
      </c>
      <c r="O2" s="20" t="s">
        <v>807</v>
      </c>
      <c r="P2" s="20" t="s">
        <v>808</v>
      </c>
      <c r="Q2" s="20" t="s">
        <v>3</v>
      </c>
      <c r="R2" s="20" t="s">
        <v>12</v>
      </c>
      <c r="S2" s="20" t="s">
        <v>13</v>
      </c>
    </row>
    <row r="3" spans="2:19">
      <c r="B3" s="21" t="s">
        <v>172</v>
      </c>
      <c r="C3" s="22">
        <v>1</v>
      </c>
      <c r="D3" s="22" t="s">
        <v>809</v>
      </c>
      <c r="E3" s="23" t="s">
        <v>810</v>
      </c>
      <c r="F3" s="22" t="s">
        <v>811</v>
      </c>
      <c r="G3" s="22" t="s">
        <v>812</v>
      </c>
      <c r="H3" s="22" t="s">
        <v>34</v>
      </c>
      <c r="I3" s="22">
        <v>953367511</v>
      </c>
      <c r="J3" s="24">
        <v>88737372</v>
      </c>
      <c r="K3" s="22">
        <v>152</v>
      </c>
      <c r="L3" s="25">
        <v>0.98</v>
      </c>
      <c r="M3" s="22" t="s">
        <v>813</v>
      </c>
      <c r="N3" s="22" t="s">
        <v>174</v>
      </c>
      <c r="O3" s="22" t="s">
        <v>175</v>
      </c>
      <c r="P3" s="22" t="s">
        <v>176</v>
      </c>
      <c r="Q3" s="22" t="s">
        <v>173</v>
      </c>
      <c r="R3" s="22" t="s">
        <v>814</v>
      </c>
      <c r="S3" s="22" t="s">
        <v>811</v>
      </c>
    </row>
    <row r="4" spans="2:19">
      <c r="B4" s="21" t="s">
        <v>815</v>
      </c>
      <c r="C4" s="22">
        <v>1</v>
      </c>
      <c r="D4" s="22" t="s">
        <v>809</v>
      </c>
      <c r="E4" s="23" t="s">
        <v>810</v>
      </c>
      <c r="F4" s="22" t="s">
        <v>816</v>
      </c>
      <c r="G4" s="22" t="s">
        <v>817</v>
      </c>
      <c r="H4" s="22" t="s">
        <v>34</v>
      </c>
      <c r="I4" s="22">
        <v>954292101</v>
      </c>
      <c r="J4" s="24">
        <v>1042135742</v>
      </c>
      <c r="K4" s="22">
        <v>1326</v>
      </c>
      <c r="L4" s="25">
        <v>0.52</v>
      </c>
      <c r="M4" s="22" t="s">
        <v>813</v>
      </c>
      <c r="N4" s="22" t="s">
        <v>433</v>
      </c>
      <c r="O4" s="22" t="s">
        <v>818</v>
      </c>
      <c r="P4" s="22" t="s">
        <v>809</v>
      </c>
      <c r="Q4" s="22" t="s">
        <v>809</v>
      </c>
      <c r="R4" s="22" t="s">
        <v>819</v>
      </c>
      <c r="S4" s="22" t="s">
        <v>816</v>
      </c>
    </row>
    <row r="5" spans="2:19">
      <c r="B5" s="21" t="s">
        <v>228</v>
      </c>
      <c r="C5" s="22">
        <v>1</v>
      </c>
      <c r="D5" s="22" t="s">
        <v>809</v>
      </c>
      <c r="E5" s="23" t="s">
        <v>810</v>
      </c>
      <c r="F5" s="22" t="s">
        <v>820</v>
      </c>
      <c r="G5" s="22" t="s">
        <v>821</v>
      </c>
      <c r="H5" s="22" t="s">
        <v>34</v>
      </c>
      <c r="I5" s="22">
        <v>943100217</v>
      </c>
      <c r="J5" s="24">
        <v>7099706570</v>
      </c>
      <c r="K5" s="22">
        <v>1637</v>
      </c>
      <c r="L5" s="25">
        <v>0.43</v>
      </c>
      <c r="M5" s="22" t="s">
        <v>813</v>
      </c>
      <c r="N5" s="22" t="s">
        <v>660</v>
      </c>
      <c r="O5" s="22" t="s">
        <v>661</v>
      </c>
      <c r="P5" s="22" t="s">
        <v>809</v>
      </c>
      <c r="Q5" s="22" t="s">
        <v>809</v>
      </c>
      <c r="R5" s="22" t="s">
        <v>822</v>
      </c>
      <c r="S5" s="22" t="s">
        <v>820</v>
      </c>
    </row>
    <row r="6" spans="2:19">
      <c r="B6" s="21" t="s">
        <v>101</v>
      </c>
      <c r="C6" s="22">
        <v>1</v>
      </c>
      <c r="D6" s="22" t="s">
        <v>809</v>
      </c>
      <c r="E6" s="26" t="s">
        <v>823</v>
      </c>
      <c r="F6" s="22" t="s">
        <v>824</v>
      </c>
      <c r="G6" s="22" t="s">
        <v>825</v>
      </c>
      <c r="H6" s="22" t="s">
        <v>105</v>
      </c>
      <c r="I6" s="22">
        <v>846002373</v>
      </c>
      <c r="J6" s="24">
        <v>446140929</v>
      </c>
      <c r="K6" s="22">
        <v>1021</v>
      </c>
      <c r="L6" s="25">
        <v>0.31</v>
      </c>
      <c r="M6" s="22" t="s">
        <v>813</v>
      </c>
      <c r="N6" s="22" t="s">
        <v>103</v>
      </c>
      <c r="O6" s="22" t="s">
        <v>104</v>
      </c>
      <c r="P6" s="22" t="s">
        <v>826</v>
      </c>
      <c r="Q6" s="22" t="s">
        <v>827</v>
      </c>
      <c r="R6" s="22" t="s">
        <v>828</v>
      </c>
      <c r="S6" s="22" t="s">
        <v>824</v>
      </c>
    </row>
    <row r="7" spans="2:19">
      <c r="B7" s="21" t="s">
        <v>829</v>
      </c>
      <c r="C7" s="22">
        <v>1</v>
      </c>
      <c r="D7" s="22" t="s">
        <v>809</v>
      </c>
      <c r="E7" s="26" t="s">
        <v>823</v>
      </c>
      <c r="F7" s="22" t="s">
        <v>830</v>
      </c>
      <c r="G7" s="22" t="s">
        <v>831</v>
      </c>
      <c r="H7" s="22" t="s">
        <v>34</v>
      </c>
      <c r="I7" s="22">
        <v>421444870</v>
      </c>
      <c r="J7" s="24">
        <v>67782266</v>
      </c>
      <c r="K7" s="22">
        <v>81</v>
      </c>
      <c r="L7" s="25">
        <v>0.76</v>
      </c>
      <c r="M7" s="22" t="s">
        <v>813</v>
      </c>
      <c r="N7" s="22" t="s">
        <v>832</v>
      </c>
      <c r="O7" s="22" t="s">
        <v>833</v>
      </c>
      <c r="P7" s="22" t="s">
        <v>809</v>
      </c>
      <c r="Q7" s="22" t="s">
        <v>809</v>
      </c>
      <c r="R7" s="22" t="s">
        <v>834</v>
      </c>
      <c r="S7" s="22" t="s">
        <v>835</v>
      </c>
    </row>
    <row r="8" spans="2:19">
      <c r="B8" s="21" t="s">
        <v>836</v>
      </c>
      <c r="C8" s="22">
        <v>1</v>
      </c>
      <c r="D8" s="22" t="s">
        <v>809</v>
      </c>
      <c r="E8" s="26" t="s">
        <v>823</v>
      </c>
      <c r="F8" s="22" t="s">
        <v>837</v>
      </c>
      <c r="G8" s="22" t="s">
        <v>838</v>
      </c>
      <c r="H8" s="22" t="s">
        <v>34</v>
      </c>
      <c r="I8" s="22">
        <v>956093178</v>
      </c>
      <c r="J8" s="24">
        <v>104011094</v>
      </c>
      <c r="K8" s="22">
        <v>193</v>
      </c>
      <c r="L8" s="25">
        <v>0.51</v>
      </c>
      <c r="M8" s="22" t="s">
        <v>813</v>
      </c>
      <c r="N8" s="22" t="s">
        <v>839</v>
      </c>
      <c r="O8" s="22" t="s">
        <v>840</v>
      </c>
      <c r="P8" s="22" t="s">
        <v>841</v>
      </c>
      <c r="Q8" s="22" t="s">
        <v>842</v>
      </c>
      <c r="R8" s="22" t="s">
        <v>843</v>
      </c>
      <c r="S8" s="22" t="s">
        <v>837</v>
      </c>
    </row>
    <row r="9" spans="2:19">
      <c r="B9" s="21" t="s">
        <v>844</v>
      </c>
      <c r="C9" s="22">
        <v>1</v>
      </c>
      <c r="D9" s="22" t="s">
        <v>809</v>
      </c>
      <c r="E9" s="23" t="s">
        <v>810</v>
      </c>
      <c r="F9" s="22" t="s">
        <v>845</v>
      </c>
      <c r="G9" s="22" t="s">
        <v>846</v>
      </c>
      <c r="H9" s="22" t="s">
        <v>34</v>
      </c>
      <c r="I9" s="22">
        <v>943167546</v>
      </c>
      <c r="J9" s="24">
        <v>270254108</v>
      </c>
      <c r="K9" s="22">
        <v>328</v>
      </c>
      <c r="L9" s="25">
        <v>0.53</v>
      </c>
      <c r="M9" s="22" t="s">
        <v>813</v>
      </c>
      <c r="N9" s="22" t="s">
        <v>847</v>
      </c>
      <c r="O9" s="22" t="s">
        <v>142</v>
      </c>
      <c r="P9" s="22" t="s">
        <v>848</v>
      </c>
      <c r="Q9" s="22" t="s">
        <v>849</v>
      </c>
      <c r="R9" s="22" t="s">
        <v>850</v>
      </c>
      <c r="S9" s="22" t="s">
        <v>845</v>
      </c>
    </row>
    <row r="10" spans="2:19">
      <c r="B10" s="21" t="s">
        <v>851</v>
      </c>
      <c r="C10" s="22">
        <v>1</v>
      </c>
      <c r="D10" s="22" t="s">
        <v>809</v>
      </c>
      <c r="E10" s="23" t="s">
        <v>810</v>
      </c>
      <c r="F10" s="22" t="s">
        <v>852</v>
      </c>
      <c r="G10" s="22" t="s">
        <v>853</v>
      </c>
      <c r="H10" s="22" t="s">
        <v>336</v>
      </c>
      <c r="I10" s="22">
        <v>931254171</v>
      </c>
      <c r="J10" s="24">
        <v>388446637</v>
      </c>
      <c r="K10" s="22">
        <v>958</v>
      </c>
      <c r="L10" s="25">
        <v>0.56999999999999995</v>
      </c>
      <c r="M10" s="22" t="s">
        <v>813</v>
      </c>
      <c r="N10" s="22" t="s">
        <v>334</v>
      </c>
      <c r="O10" s="22" t="s">
        <v>51</v>
      </c>
      <c r="P10" s="22" t="s">
        <v>335</v>
      </c>
      <c r="Q10" s="22" t="s">
        <v>809</v>
      </c>
      <c r="R10" s="22" t="s">
        <v>854</v>
      </c>
      <c r="S10" s="22" t="s">
        <v>852</v>
      </c>
    </row>
    <row r="11" spans="2:19">
      <c r="B11" s="21" t="s">
        <v>349</v>
      </c>
      <c r="C11" s="22">
        <v>1</v>
      </c>
      <c r="D11" s="22" t="s">
        <v>809</v>
      </c>
      <c r="E11" s="23" t="s">
        <v>810</v>
      </c>
      <c r="F11" s="22" t="s">
        <v>855</v>
      </c>
      <c r="G11" s="22" t="s">
        <v>856</v>
      </c>
      <c r="H11" s="22" t="s">
        <v>336</v>
      </c>
      <c r="I11" s="22">
        <v>930806316</v>
      </c>
      <c r="J11" s="24">
        <v>885167113</v>
      </c>
      <c r="K11" s="22">
        <v>880</v>
      </c>
      <c r="L11" s="25">
        <v>0.37</v>
      </c>
      <c r="M11" s="22" t="s">
        <v>813</v>
      </c>
      <c r="N11" s="22" t="s">
        <v>351</v>
      </c>
      <c r="O11" s="22" t="s">
        <v>726</v>
      </c>
      <c r="P11" s="22" t="s">
        <v>352</v>
      </c>
      <c r="Q11" s="22" t="s">
        <v>725</v>
      </c>
      <c r="R11" s="22" t="s">
        <v>857</v>
      </c>
      <c r="S11" s="22" t="s">
        <v>855</v>
      </c>
    </row>
    <row r="12" spans="2:19">
      <c r="B12" s="21" t="s">
        <v>121</v>
      </c>
      <c r="C12" s="22">
        <v>1</v>
      </c>
      <c r="D12" s="22" t="s">
        <v>809</v>
      </c>
      <c r="E12" s="26" t="s">
        <v>823</v>
      </c>
      <c r="F12" s="22" t="s">
        <v>858</v>
      </c>
      <c r="G12" s="22" t="s">
        <v>859</v>
      </c>
      <c r="H12" s="22" t="s">
        <v>34</v>
      </c>
      <c r="I12" s="22">
        <v>956027266</v>
      </c>
      <c r="J12" s="24">
        <v>46370868</v>
      </c>
      <c r="K12" s="22">
        <v>118</v>
      </c>
      <c r="L12" s="25">
        <v>0.68</v>
      </c>
      <c r="M12" s="22" t="s">
        <v>813</v>
      </c>
      <c r="N12" s="22" t="s">
        <v>122</v>
      </c>
      <c r="O12" s="22" t="s">
        <v>51</v>
      </c>
      <c r="P12" s="22" t="s">
        <v>809</v>
      </c>
      <c r="Q12" s="22" t="s">
        <v>860</v>
      </c>
      <c r="R12" s="22" t="s">
        <v>809</v>
      </c>
      <c r="S12" s="22" t="s">
        <v>861</v>
      </c>
    </row>
    <row r="13" spans="2:19">
      <c r="B13" s="21" t="s">
        <v>600</v>
      </c>
      <c r="C13" s="22">
        <v>1</v>
      </c>
      <c r="D13" s="22" t="s">
        <v>809</v>
      </c>
      <c r="E13" s="23" t="s">
        <v>810</v>
      </c>
      <c r="F13" s="22" t="s">
        <v>862</v>
      </c>
      <c r="G13" s="22" t="s">
        <v>863</v>
      </c>
      <c r="H13" s="22" t="s">
        <v>34</v>
      </c>
      <c r="I13" s="22">
        <v>465129465</v>
      </c>
      <c r="J13" s="24">
        <v>470624292</v>
      </c>
      <c r="K13" s="22">
        <v>387</v>
      </c>
      <c r="L13" s="25">
        <v>0.93</v>
      </c>
      <c r="M13" s="22" t="s">
        <v>864</v>
      </c>
      <c r="N13" s="22" t="s">
        <v>134</v>
      </c>
      <c r="O13" s="22" t="s">
        <v>135</v>
      </c>
      <c r="P13" s="22" t="s">
        <v>136</v>
      </c>
      <c r="Q13" s="22" t="s">
        <v>133</v>
      </c>
      <c r="R13" s="22" t="s">
        <v>865</v>
      </c>
      <c r="S13" s="22" t="s">
        <v>862</v>
      </c>
    </row>
    <row r="14" spans="2:19">
      <c r="B14" s="21" t="s">
        <v>866</v>
      </c>
      <c r="C14" s="22">
        <v>1</v>
      </c>
      <c r="D14" s="22" t="s">
        <v>809</v>
      </c>
      <c r="E14" s="26" t="s">
        <v>823</v>
      </c>
      <c r="F14" s="22" t="s">
        <v>867</v>
      </c>
      <c r="G14" s="22" t="s">
        <v>868</v>
      </c>
      <c r="H14" s="22" t="s">
        <v>336</v>
      </c>
      <c r="I14" s="22">
        <v>836622391</v>
      </c>
      <c r="J14" s="24">
        <v>38830815</v>
      </c>
      <c r="K14" s="22">
        <v>211</v>
      </c>
      <c r="L14" s="25">
        <v>0.64</v>
      </c>
      <c r="M14" s="22" t="s">
        <v>813</v>
      </c>
      <c r="N14" s="22" t="s">
        <v>869</v>
      </c>
      <c r="O14" s="22" t="s">
        <v>142</v>
      </c>
      <c r="P14" s="22" t="s">
        <v>870</v>
      </c>
      <c r="Q14" s="22" t="s">
        <v>809</v>
      </c>
      <c r="R14" s="22" t="s">
        <v>871</v>
      </c>
      <c r="S14" s="22" t="s">
        <v>867</v>
      </c>
    </row>
    <row r="15" spans="2:19">
      <c r="B15" s="21" t="s">
        <v>872</v>
      </c>
      <c r="C15" s="22">
        <v>1</v>
      </c>
      <c r="D15" s="22" t="s">
        <v>809</v>
      </c>
      <c r="E15" s="23" t="s">
        <v>810</v>
      </c>
      <c r="F15" s="22" t="s">
        <v>873</v>
      </c>
      <c r="G15" s="22" t="s">
        <v>874</v>
      </c>
      <c r="H15" s="22" t="s">
        <v>34</v>
      </c>
      <c r="I15" s="22">
        <v>330247161</v>
      </c>
      <c r="J15" s="24">
        <v>19589623</v>
      </c>
      <c r="K15" s="22">
        <v>199</v>
      </c>
      <c r="L15" s="25">
        <v>0.57999999999999996</v>
      </c>
      <c r="M15" s="22" t="s">
        <v>813</v>
      </c>
      <c r="N15" s="22" t="s">
        <v>875</v>
      </c>
      <c r="O15" s="22" t="s">
        <v>142</v>
      </c>
      <c r="P15" s="22" t="s">
        <v>876</v>
      </c>
      <c r="Q15" s="22" t="s">
        <v>877</v>
      </c>
      <c r="R15" s="22" t="s">
        <v>878</v>
      </c>
      <c r="S15" s="22" t="s">
        <v>873</v>
      </c>
    </row>
    <row r="16" spans="2:19">
      <c r="B16" s="21" t="s">
        <v>879</v>
      </c>
      <c r="C16" s="22">
        <v>1</v>
      </c>
      <c r="D16" s="22" t="s">
        <v>809</v>
      </c>
      <c r="E16" s="26" t="s">
        <v>823</v>
      </c>
      <c r="F16" s="22" t="s">
        <v>880</v>
      </c>
      <c r="G16" s="22" t="s">
        <v>881</v>
      </c>
      <c r="H16" s="22" t="s">
        <v>24</v>
      </c>
      <c r="I16" s="22">
        <v>381359217</v>
      </c>
      <c r="J16" s="24">
        <v>4073115789</v>
      </c>
      <c r="K16" s="22">
        <v>1264</v>
      </c>
      <c r="L16" s="25">
        <v>0.28999999999999998</v>
      </c>
      <c r="M16" s="22" t="s">
        <v>813</v>
      </c>
      <c r="N16" s="22" t="s">
        <v>882</v>
      </c>
      <c r="O16" s="22" t="s">
        <v>883</v>
      </c>
      <c r="P16" s="22" t="s">
        <v>809</v>
      </c>
      <c r="Q16" s="22" t="s">
        <v>884</v>
      </c>
      <c r="R16" s="22" t="s">
        <v>885</v>
      </c>
      <c r="S16" s="22" t="s">
        <v>880</v>
      </c>
    </row>
    <row r="17" spans="2:19">
      <c r="B17" s="21" t="s">
        <v>487</v>
      </c>
      <c r="C17" s="22">
        <v>1</v>
      </c>
      <c r="D17" s="22" t="s">
        <v>809</v>
      </c>
      <c r="E17" s="23" t="s">
        <v>810</v>
      </c>
      <c r="F17" s="22" t="s">
        <v>886</v>
      </c>
      <c r="G17" s="22" t="s">
        <v>887</v>
      </c>
      <c r="H17" s="22" t="s">
        <v>143</v>
      </c>
      <c r="I17" s="22">
        <v>911501066</v>
      </c>
      <c r="J17" s="24">
        <v>443335399</v>
      </c>
      <c r="K17" s="22">
        <v>292</v>
      </c>
      <c r="L17" s="25">
        <v>0.82</v>
      </c>
      <c r="M17" s="22" t="s">
        <v>864</v>
      </c>
      <c r="N17" s="22" t="s">
        <v>489</v>
      </c>
      <c r="O17" s="22" t="s">
        <v>142</v>
      </c>
      <c r="P17" s="30" t="s">
        <v>490</v>
      </c>
      <c r="Q17" s="22" t="s">
        <v>488</v>
      </c>
      <c r="R17" s="22" t="s">
        <v>888</v>
      </c>
      <c r="S17" s="22" t="s">
        <v>886</v>
      </c>
    </row>
    <row r="18" spans="2:19">
      <c r="B18" s="21" t="s">
        <v>72</v>
      </c>
      <c r="C18" s="22">
        <v>1</v>
      </c>
      <c r="D18" s="22" t="s">
        <v>809</v>
      </c>
      <c r="E18" s="26" t="s">
        <v>823</v>
      </c>
      <c r="F18" s="22" t="s">
        <v>889</v>
      </c>
      <c r="G18" s="22" t="s">
        <v>890</v>
      </c>
      <c r="H18" s="22" t="s">
        <v>34</v>
      </c>
      <c r="I18" s="22">
        <v>941655673</v>
      </c>
      <c r="J18" s="24">
        <v>13332174215</v>
      </c>
      <c r="K18" s="22">
        <v>1796</v>
      </c>
      <c r="L18" s="25">
        <v>0.32</v>
      </c>
      <c r="M18" s="22" t="s">
        <v>813</v>
      </c>
      <c r="N18" s="22" t="s">
        <v>891</v>
      </c>
      <c r="O18" s="22" t="s">
        <v>892</v>
      </c>
      <c r="P18" s="22" t="s">
        <v>893</v>
      </c>
      <c r="Q18" s="22" t="s">
        <v>894</v>
      </c>
      <c r="R18" s="22" t="s">
        <v>895</v>
      </c>
      <c r="S18" s="22" t="s">
        <v>889</v>
      </c>
    </row>
    <row r="19" spans="2:19">
      <c r="B19" s="21" t="s">
        <v>513</v>
      </c>
      <c r="C19" s="22">
        <v>1</v>
      </c>
      <c r="D19" s="22" t="s">
        <v>809</v>
      </c>
      <c r="E19" s="23" t="s">
        <v>810</v>
      </c>
      <c r="F19" s="22" t="s">
        <v>896</v>
      </c>
      <c r="G19" s="22" t="s">
        <v>897</v>
      </c>
      <c r="H19" s="22" t="s">
        <v>34</v>
      </c>
      <c r="I19" s="22">
        <v>956054814</v>
      </c>
      <c r="J19" s="24">
        <v>866296097</v>
      </c>
      <c r="K19" s="22">
        <v>872</v>
      </c>
      <c r="L19" s="25">
        <v>0.64</v>
      </c>
      <c r="M19" s="22" t="s">
        <v>813</v>
      </c>
      <c r="N19" s="22" t="s">
        <v>796</v>
      </c>
      <c r="O19" s="22" t="s">
        <v>274</v>
      </c>
      <c r="P19" s="22" t="s">
        <v>517</v>
      </c>
      <c r="Q19" s="22" t="s">
        <v>514</v>
      </c>
      <c r="R19" s="22" t="s">
        <v>898</v>
      </c>
      <c r="S19" s="22" t="s">
        <v>896</v>
      </c>
    </row>
  </sheetData>
  <hyperlinks>
    <hyperlink ref="P17" r:id="rId1" xr:uid="{6CA7E588-A949-4C97-A6DB-19225E12F0D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0E8CD-56FF-49CA-A2F0-6A133130D190}">
  <dimension ref="B2:K86"/>
  <sheetViews>
    <sheetView topLeftCell="A43" workbookViewId="0">
      <selection activeCell="B58" sqref="B58:H61"/>
    </sheetView>
  </sheetViews>
  <sheetFormatPr defaultRowHeight="15"/>
  <cols>
    <col min="2" max="2" width="28" customWidth="1"/>
    <col min="5" max="5" width="25.85546875" customWidth="1"/>
    <col min="6" max="6" width="28.7109375" customWidth="1"/>
  </cols>
  <sheetData>
    <row r="2" spans="2:11" ht="41.25">
      <c r="B2" s="28" t="s">
        <v>899</v>
      </c>
      <c r="C2" s="29" t="s">
        <v>900</v>
      </c>
      <c r="D2" s="29" t="s">
        <v>901</v>
      </c>
      <c r="E2" s="29" t="s">
        <v>902</v>
      </c>
      <c r="F2" s="29" t="s">
        <v>903</v>
      </c>
      <c r="G2" s="29" t="s">
        <v>904</v>
      </c>
      <c r="H2" s="29" t="s">
        <v>905</v>
      </c>
      <c r="I2" s="29" t="s">
        <v>906</v>
      </c>
      <c r="J2" s="29" t="s">
        <v>907</v>
      </c>
      <c r="K2" s="29"/>
    </row>
    <row r="3" spans="2:11">
      <c r="B3" s="21" t="s">
        <v>228</v>
      </c>
      <c r="C3" s="27" t="s">
        <v>908</v>
      </c>
      <c r="D3" s="22" t="s">
        <v>909</v>
      </c>
      <c r="E3" s="22" t="s">
        <v>660</v>
      </c>
      <c r="F3" s="22" t="s">
        <v>661</v>
      </c>
      <c r="G3" s="22" t="s">
        <v>809</v>
      </c>
      <c r="H3" s="22" t="s">
        <v>809</v>
      </c>
      <c r="I3" s="22" t="s">
        <v>910</v>
      </c>
      <c r="J3" s="22">
        <v>943100217</v>
      </c>
      <c r="K3" s="22" t="s">
        <v>911</v>
      </c>
    </row>
    <row r="4" spans="2:11">
      <c r="B4" s="21" t="s">
        <v>228</v>
      </c>
      <c r="C4" s="22" t="s">
        <v>809</v>
      </c>
      <c r="D4" s="22" t="s">
        <v>809</v>
      </c>
      <c r="E4" s="22" t="s">
        <v>912</v>
      </c>
      <c r="F4" s="22" t="s">
        <v>913</v>
      </c>
      <c r="G4" s="22" t="s">
        <v>809</v>
      </c>
      <c r="H4" s="22" t="s">
        <v>809</v>
      </c>
      <c r="I4" s="22" t="s">
        <v>914</v>
      </c>
      <c r="J4" s="22">
        <v>943100217</v>
      </c>
      <c r="K4" s="22" t="s">
        <v>915</v>
      </c>
    </row>
    <row r="5" spans="2:11">
      <c r="B5" s="21" t="s">
        <v>228</v>
      </c>
      <c r="C5" s="22" t="s">
        <v>809</v>
      </c>
      <c r="D5" s="22" t="s">
        <v>809</v>
      </c>
      <c r="E5" s="22" t="s">
        <v>916</v>
      </c>
      <c r="F5" s="22" t="s">
        <v>917</v>
      </c>
      <c r="G5" s="22" t="s">
        <v>809</v>
      </c>
      <c r="H5" s="22" t="s">
        <v>809</v>
      </c>
      <c r="I5" s="22" t="s">
        <v>918</v>
      </c>
      <c r="J5" s="22">
        <v>943100217</v>
      </c>
      <c r="K5" s="22" t="s">
        <v>919</v>
      </c>
    </row>
    <row r="6" spans="2:11">
      <c r="B6" s="21" t="s">
        <v>228</v>
      </c>
      <c r="C6" s="22" t="s">
        <v>809</v>
      </c>
      <c r="D6" s="22" t="s">
        <v>809</v>
      </c>
      <c r="E6" s="22" t="s">
        <v>920</v>
      </c>
      <c r="F6" s="22" t="s">
        <v>921</v>
      </c>
      <c r="G6" s="22" t="s">
        <v>809</v>
      </c>
      <c r="H6" s="22" t="s">
        <v>809</v>
      </c>
      <c r="I6" s="22" t="s">
        <v>922</v>
      </c>
      <c r="J6" s="22">
        <v>943100217</v>
      </c>
      <c r="K6" s="22" t="s">
        <v>923</v>
      </c>
    </row>
    <row r="7" spans="2:11">
      <c r="B7" s="21" t="s">
        <v>815</v>
      </c>
      <c r="C7" s="27" t="s">
        <v>908</v>
      </c>
      <c r="D7" s="22" t="s">
        <v>909</v>
      </c>
      <c r="E7" s="22" t="s">
        <v>433</v>
      </c>
      <c r="F7" s="22" t="s">
        <v>818</v>
      </c>
      <c r="G7" s="22" t="s">
        <v>809</v>
      </c>
      <c r="H7" s="22" t="s">
        <v>809</v>
      </c>
      <c r="I7" s="22" t="s">
        <v>924</v>
      </c>
      <c r="J7" s="22">
        <v>954292101</v>
      </c>
      <c r="K7" s="22" t="s">
        <v>925</v>
      </c>
    </row>
    <row r="8" spans="2:11">
      <c r="B8" s="21" t="s">
        <v>815</v>
      </c>
      <c r="C8" s="22" t="s">
        <v>809</v>
      </c>
      <c r="D8" s="22" t="s">
        <v>809</v>
      </c>
      <c r="E8" s="22" t="s">
        <v>926</v>
      </c>
      <c r="F8" s="22" t="s">
        <v>927</v>
      </c>
      <c r="G8" s="22" t="s">
        <v>809</v>
      </c>
      <c r="H8" s="22" t="s">
        <v>809</v>
      </c>
      <c r="I8" s="22" t="s">
        <v>928</v>
      </c>
      <c r="J8" s="22">
        <v>954292101</v>
      </c>
      <c r="K8" s="22" t="s">
        <v>929</v>
      </c>
    </row>
    <row r="9" spans="2:11">
      <c r="B9" s="21" t="s">
        <v>101</v>
      </c>
      <c r="C9" s="27" t="s">
        <v>908</v>
      </c>
      <c r="D9" s="22" t="s">
        <v>909</v>
      </c>
      <c r="E9" s="22" t="s">
        <v>103</v>
      </c>
      <c r="F9" s="22" t="s">
        <v>104</v>
      </c>
      <c r="G9" s="22" t="s">
        <v>809</v>
      </c>
      <c r="H9" s="22" t="s">
        <v>827</v>
      </c>
      <c r="I9" s="22" t="s">
        <v>809</v>
      </c>
      <c r="J9" s="22">
        <v>846002373</v>
      </c>
      <c r="K9" s="22" t="s">
        <v>930</v>
      </c>
    </row>
    <row r="10" spans="2:11">
      <c r="B10" s="21" t="s">
        <v>101</v>
      </c>
      <c r="C10" s="22" t="s">
        <v>809</v>
      </c>
      <c r="D10" s="22" t="s">
        <v>809</v>
      </c>
      <c r="E10" s="22" t="s">
        <v>931</v>
      </c>
      <c r="F10" s="22" t="s">
        <v>809</v>
      </c>
      <c r="G10" s="22" t="s">
        <v>826</v>
      </c>
      <c r="H10" s="22" t="s">
        <v>827</v>
      </c>
      <c r="I10" s="22" t="s">
        <v>809</v>
      </c>
      <c r="J10" s="22">
        <v>846002373</v>
      </c>
      <c r="K10" s="22" t="s">
        <v>932</v>
      </c>
    </row>
    <row r="11" spans="2:11">
      <c r="B11" s="21" t="s">
        <v>101</v>
      </c>
      <c r="C11" s="22" t="s">
        <v>809</v>
      </c>
      <c r="D11" s="22" t="s">
        <v>809</v>
      </c>
      <c r="E11" s="22" t="s">
        <v>933</v>
      </c>
      <c r="F11" s="22" t="s">
        <v>934</v>
      </c>
      <c r="G11" s="22" t="s">
        <v>809</v>
      </c>
      <c r="H11" s="22" t="s">
        <v>935</v>
      </c>
      <c r="I11" s="22" t="s">
        <v>809</v>
      </c>
      <c r="J11" s="22">
        <v>846002373</v>
      </c>
      <c r="K11" s="22" t="s">
        <v>936</v>
      </c>
    </row>
    <row r="12" spans="2:11">
      <c r="B12" s="21" t="s">
        <v>349</v>
      </c>
      <c r="C12" s="27" t="s">
        <v>908</v>
      </c>
      <c r="D12" s="22" t="s">
        <v>909</v>
      </c>
      <c r="E12" s="22" t="s">
        <v>351</v>
      </c>
      <c r="F12" s="22" t="s">
        <v>726</v>
      </c>
      <c r="G12" s="22" t="s">
        <v>809</v>
      </c>
      <c r="H12" s="22" t="s">
        <v>809</v>
      </c>
      <c r="I12" s="22" t="s">
        <v>937</v>
      </c>
      <c r="J12" s="22">
        <v>930806316</v>
      </c>
      <c r="K12" s="22" t="s">
        <v>727</v>
      </c>
    </row>
    <row r="13" spans="2:11">
      <c r="B13" s="21" t="s">
        <v>349</v>
      </c>
      <c r="C13" s="22" t="s">
        <v>809</v>
      </c>
      <c r="D13" s="22" t="s">
        <v>809</v>
      </c>
      <c r="E13" s="22" t="s">
        <v>938</v>
      </c>
      <c r="F13" s="22" t="s">
        <v>939</v>
      </c>
      <c r="G13" s="22" t="s">
        <v>809</v>
      </c>
      <c r="H13" s="22" t="s">
        <v>809</v>
      </c>
      <c r="I13" s="22" t="s">
        <v>940</v>
      </c>
      <c r="J13" s="22">
        <v>930806316</v>
      </c>
      <c r="K13" s="22" t="s">
        <v>941</v>
      </c>
    </row>
    <row r="14" spans="2:11">
      <c r="B14" s="21" t="s">
        <v>349</v>
      </c>
      <c r="C14" s="22" t="s">
        <v>809</v>
      </c>
      <c r="D14" s="22" t="s">
        <v>809</v>
      </c>
      <c r="E14" s="22" t="s">
        <v>942</v>
      </c>
      <c r="F14" s="22" t="s">
        <v>943</v>
      </c>
      <c r="G14" s="22" t="s">
        <v>809</v>
      </c>
      <c r="H14" s="22" t="s">
        <v>809</v>
      </c>
      <c r="I14" s="22" t="s">
        <v>944</v>
      </c>
      <c r="J14" s="22">
        <v>930806316</v>
      </c>
      <c r="K14" s="22" t="s">
        <v>945</v>
      </c>
    </row>
    <row r="15" spans="2:11">
      <c r="B15" s="21" t="s">
        <v>349</v>
      </c>
      <c r="C15" s="22" t="s">
        <v>809</v>
      </c>
      <c r="D15" s="22" t="s">
        <v>809</v>
      </c>
      <c r="E15" s="22" t="s">
        <v>946</v>
      </c>
      <c r="F15" s="22" t="s">
        <v>260</v>
      </c>
      <c r="G15" s="22" t="s">
        <v>809</v>
      </c>
      <c r="H15" s="22" t="s">
        <v>809</v>
      </c>
      <c r="I15" s="22" t="s">
        <v>947</v>
      </c>
      <c r="J15" s="22">
        <v>930806316</v>
      </c>
      <c r="K15" s="22" t="s">
        <v>809</v>
      </c>
    </row>
    <row r="16" spans="2:11">
      <c r="B16" s="21" t="s">
        <v>349</v>
      </c>
      <c r="C16" s="22" t="s">
        <v>809</v>
      </c>
      <c r="D16" s="22" t="s">
        <v>809</v>
      </c>
      <c r="E16" s="22" t="s">
        <v>948</v>
      </c>
      <c r="F16" s="22" t="s">
        <v>809</v>
      </c>
      <c r="G16" s="22" t="s">
        <v>352</v>
      </c>
      <c r="H16" s="22" t="s">
        <v>725</v>
      </c>
      <c r="I16" s="22" t="s">
        <v>809</v>
      </c>
      <c r="J16" s="22">
        <v>930806316</v>
      </c>
      <c r="K16" s="22" t="s">
        <v>949</v>
      </c>
    </row>
    <row r="17" spans="2:11">
      <c r="B17" s="21" t="s">
        <v>950</v>
      </c>
      <c r="C17" s="27" t="s">
        <v>908</v>
      </c>
      <c r="D17" s="22" t="s">
        <v>909</v>
      </c>
      <c r="E17" s="22" t="s">
        <v>809</v>
      </c>
      <c r="F17" s="22" t="s">
        <v>809</v>
      </c>
      <c r="G17" s="22" t="s">
        <v>809</v>
      </c>
      <c r="H17" s="22" t="s">
        <v>809</v>
      </c>
      <c r="I17" s="22" t="s">
        <v>809</v>
      </c>
      <c r="J17" s="22">
        <v>954523232</v>
      </c>
      <c r="K17" s="22" t="s">
        <v>951</v>
      </c>
    </row>
    <row r="18" spans="2:11">
      <c r="B18" s="21" t="s">
        <v>952</v>
      </c>
      <c r="C18" s="27" t="s">
        <v>908</v>
      </c>
      <c r="D18" s="22" t="s">
        <v>909</v>
      </c>
      <c r="E18" s="22" t="s">
        <v>953</v>
      </c>
      <c r="F18" s="22" t="s">
        <v>954</v>
      </c>
      <c r="G18" s="22" t="s">
        <v>809</v>
      </c>
      <c r="H18" s="22" t="s">
        <v>955</v>
      </c>
      <c r="I18" s="22" t="s">
        <v>956</v>
      </c>
      <c r="J18" s="22">
        <v>943397785</v>
      </c>
      <c r="K18" s="22" t="s">
        <v>957</v>
      </c>
    </row>
    <row r="19" spans="2:11">
      <c r="B19" s="21" t="s">
        <v>952</v>
      </c>
      <c r="C19" s="22" t="s">
        <v>809</v>
      </c>
      <c r="D19" s="22" t="s">
        <v>809</v>
      </c>
      <c r="E19" s="22" t="s">
        <v>958</v>
      </c>
      <c r="F19" s="22" t="s">
        <v>959</v>
      </c>
      <c r="G19" s="22" t="s">
        <v>960</v>
      </c>
      <c r="H19" s="22" t="s">
        <v>955</v>
      </c>
      <c r="I19" s="22" t="s">
        <v>809</v>
      </c>
      <c r="J19" s="22">
        <v>943397785</v>
      </c>
      <c r="K19" s="22" t="s">
        <v>961</v>
      </c>
    </row>
    <row r="20" spans="2:11">
      <c r="B20" s="21" t="s">
        <v>952</v>
      </c>
      <c r="C20" s="22" t="s">
        <v>809</v>
      </c>
      <c r="D20" s="22" t="s">
        <v>809</v>
      </c>
      <c r="E20" s="22" t="s">
        <v>962</v>
      </c>
      <c r="F20" s="22" t="s">
        <v>963</v>
      </c>
      <c r="G20" s="22" t="s">
        <v>809</v>
      </c>
      <c r="H20" s="22" t="s">
        <v>955</v>
      </c>
      <c r="I20" s="22" t="s">
        <v>964</v>
      </c>
      <c r="J20" s="22">
        <v>943397785</v>
      </c>
      <c r="K20" s="22" t="s">
        <v>965</v>
      </c>
    </row>
    <row r="21" spans="2:11">
      <c r="B21" s="21" t="s">
        <v>952</v>
      </c>
      <c r="C21" s="22" t="s">
        <v>809</v>
      </c>
      <c r="D21" s="22" t="s">
        <v>809</v>
      </c>
      <c r="E21" s="22" t="s">
        <v>948</v>
      </c>
      <c r="F21" s="22" t="s">
        <v>809</v>
      </c>
      <c r="G21" s="22" t="s">
        <v>966</v>
      </c>
      <c r="H21" s="22" t="s">
        <v>955</v>
      </c>
      <c r="I21" s="22" t="s">
        <v>809</v>
      </c>
      <c r="J21" s="22">
        <v>943397785</v>
      </c>
      <c r="K21" s="22" t="s">
        <v>967</v>
      </c>
    </row>
    <row r="22" spans="2:11">
      <c r="B22" s="21" t="s">
        <v>72</v>
      </c>
      <c r="C22" s="27" t="s">
        <v>908</v>
      </c>
      <c r="D22" s="22" t="s">
        <v>909</v>
      </c>
      <c r="E22" s="22" t="s">
        <v>891</v>
      </c>
      <c r="F22" s="22" t="s">
        <v>892</v>
      </c>
      <c r="G22" s="22" t="s">
        <v>893</v>
      </c>
      <c r="H22" s="22" t="s">
        <v>894</v>
      </c>
      <c r="I22" s="22" t="s">
        <v>968</v>
      </c>
      <c r="J22" s="22">
        <v>941655673</v>
      </c>
      <c r="K22" s="22" t="s">
        <v>969</v>
      </c>
    </row>
    <row r="23" spans="2:11">
      <c r="B23" s="21" t="s">
        <v>72</v>
      </c>
      <c r="C23" s="22" t="s">
        <v>809</v>
      </c>
      <c r="D23" s="22" t="s">
        <v>809</v>
      </c>
      <c r="E23" s="22" t="s">
        <v>74</v>
      </c>
      <c r="F23" s="22" t="s">
        <v>970</v>
      </c>
      <c r="G23" s="22" t="s">
        <v>971</v>
      </c>
      <c r="H23" s="22" t="s">
        <v>809</v>
      </c>
      <c r="I23" s="22" t="s">
        <v>972</v>
      </c>
      <c r="J23" s="22">
        <v>941655673</v>
      </c>
      <c r="K23" s="22" t="s">
        <v>973</v>
      </c>
    </row>
    <row r="24" spans="2:11">
      <c r="B24" s="21" t="s">
        <v>72</v>
      </c>
      <c r="C24" s="22" t="s">
        <v>809</v>
      </c>
      <c r="D24" s="22" t="s">
        <v>809</v>
      </c>
      <c r="E24" s="22" t="s">
        <v>974</v>
      </c>
      <c r="F24" s="22" t="s">
        <v>51</v>
      </c>
      <c r="G24" s="22" t="s">
        <v>975</v>
      </c>
      <c r="H24" s="22" t="s">
        <v>894</v>
      </c>
      <c r="I24" s="22" t="s">
        <v>809</v>
      </c>
      <c r="J24" s="22">
        <v>941655673</v>
      </c>
      <c r="K24" s="22" t="s">
        <v>976</v>
      </c>
    </row>
    <row r="25" spans="2:11">
      <c r="B25" s="21" t="s">
        <v>513</v>
      </c>
      <c r="C25" s="27" t="s">
        <v>908</v>
      </c>
      <c r="D25" s="22" t="s">
        <v>909</v>
      </c>
      <c r="E25" s="22" t="s">
        <v>796</v>
      </c>
      <c r="F25" s="22" t="s">
        <v>274</v>
      </c>
      <c r="G25" s="22" t="s">
        <v>517</v>
      </c>
      <c r="H25" s="22" t="s">
        <v>514</v>
      </c>
      <c r="I25" s="22" t="s">
        <v>977</v>
      </c>
      <c r="J25" s="22">
        <v>956054814</v>
      </c>
      <c r="K25" s="22" t="s">
        <v>797</v>
      </c>
    </row>
    <row r="26" spans="2:11">
      <c r="B26" s="21" t="s">
        <v>513</v>
      </c>
      <c r="C26" s="22" t="s">
        <v>809</v>
      </c>
      <c r="D26" s="22" t="s">
        <v>809</v>
      </c>
      <c r="E26" s="22" t="s">
        <v>515</v>
      </c>
      <c r="F26" s="22" t="s">
        <v>978</v>
      </c>
      <c r="G26" s="22" t="s">
        <v>979</v>
      </c>
      <c r="H26" s="22" t="s">
        <v>514</v>
      </c>
      <c r="I26" s="22" t="s">
        <v>809</v>
      </c>
      <c r="J26" s="22">
        <v>956054814</v>
      </c>
      <c r="K26" s="22" t="s">
        <v>980</v>
      </c>
    </row>
    <row r="27" spans="2:11">
      <c r="B27" s="21" t="s">
        <v>513</v>
      </c>
      <c r="C27" s="22" t="s">
        <v>809</v>
      </c>
      <c r="D27" s="22" t="s">
        <v>809</v>
      </c>
      <c r="E27" s="22" t="s">
        <v>981</v>
      </c>
      <c r="F27" s="22" t="s">
        <v>22</v>
      </c>
      <c r="G27" s="22" t="s">
        <v>982</v>
      </c>
      <c r="H27" s="22" t="s">
        <v>514</v>
      </c>
      <c r="I27" s="22" t="s">
        <v>809</v>
      </c>
      <c r="J27" s="22">
        <v>956054814</v>
      </c>
      <c r="K27" s="22" t="s">
        <v>983</v>
      </c>
    </row>
    <row r="28" spans="2:11">
      <c r="B28" s="21" t="s">
        <v>513</v>
      </c>
      <c r="C28" s="22" t="s">
        <v>809</v>
      </c>
      <c r="D28" s="22" t="s">
        <v>809</v>
      </c>
      <c r="E28" s="22" t="s">
        <v>984</v>
      </c>
      <c r="F28" s="22" t="s">
        <v>927</v>
      </c>
      <c r="G28" s="22" t="s">
        <v>809</v>
      </c>
      <c r="H28" s="22" t="s">
        <v>514</v>
      </c>
      <c r="I28" s="22" t="s">
        <v>809</v>
      </c>
      <c r="J28" s="22">
        <v>956054814</v>
      </c>
      <c r="K28" s="22" t="s">
        <v>985</v>
      </c>
    </row>
    <row r="29" spans="2:11">
      <c r="B29" s="21" t="s">
        <v>513</v>
      </c>
      <c r="C29" s="22" t="s">
        <v>809</v>
      </c>
      <c r="D29" s="22" t="s">
        <v>809</v>
      </c>
      <c r="E29" s="22" t="s">
        <v>986</v>
      </c>
      <c r="F29" s="22" t="s">
        <v>987</v>
      </c>
      <c r="G29" s="22" t="s">
        <v>809</v>
      </c>
      <c r="H29" s="22" t="s">
        <v>514</v>
      </c>
      <c r="I29" s="22" t="s">
        <v>809</v>
      </c>
      <c r="J29" s="22">
        <v>956054814</v>
      </c>
      <c r="K29" s="22" t="s">
        <v>988</v>
      </c>
    </row>
    <row r="30" spans="2:11">
      <c r="B30" s="21" t="s">
        <v>426</v>
      </c>
      <c r="C30" s="27" t="s">
        <v>908</v>
      </c>
      <c r="D30" s="22" t="s">
        <v>909</v>
      </c>
      <c r="E30" s="22" t="s">
        <v>428</v>
      </c>
      <c r="F30" s="22" t="s">
        <v>22</v>
      </c>
      <c r="G30" s="22" t="s">
        <v>809</v>
      </c>
      <c r="H30" s="22" t="s">
        <v>989</v>
      </c>
      <c r="I30" s="22" t="s">
        <v>990</v>
      </c>
      <c r="J30" s="22">
        <v>846037604</v>
      </c>
      <c r="K30" s="22" t="s">
        <v>991</v>
      </c>
    </row>
    <row r="31" spans="2:11">
      <c r="B31" s="21" t="s">
        <v>426</v>
      </c>
      <c r="C31" s="22" t="s">
        <v>809</v>
      </c>
      <c r="D31" s="22" t="s">
        <v>809</v>
      </c>
      <c r="E31" s="22" t="s">
        <v>992</v>
      </c>
      <c r="F31" s="22" t="s">
        <v>274</v>
      </c>
      <c r="G31" s="22" t="s">
        <v>993</v>
      </c>
      <c r="H31" s="22" t="s">
        <v>989</v>
      </c>
      <c r="I31" s="22" t="s">
        <v>809</v>
      </c>
      <c r="J31" s="22">
        <v>846037604</v>
      </c>
      <c r="K31" s="22" t="s">
        <v>994</v>
      </c>
    </row>
    <row r="32" spans="2:11">
      <c r="B32" s="21" t="s">
        <v>426</v>
      </c>
      <c r="C32" s="22" t="s">
        <v>809</v>
      </c>
      <c r="D32" s="22" t="s">
        <v>809</v>
      </c>
      <c r="E32" s="22" t="s">
        <v>995</v>
      </c>
      <c r="F32" s="22" t="s">
        <v>996</v>
      </c>
      <c r="G32" s="22" t="s">
        <v>809</v>
      </c>
      <c r="H32" s="22" t="s">
        <v>989</v>
      </c>
      <c r="I32" s="22" t="s">
        <v>809</v>
      </c>
      <c r="J32" s="22">
        <v>846037604</v>
      </c>
      <c r="K32" s="22" t="s">
        <v>997</v>
      </c>
    </row>
    <row r="33" spans="2:11">
      <c r="B33" s="21" t="s">
        <v>426</v>
      </c>
      <c r="C33" s="22" t="s">
        <v>809</v>
      </c>
      <c r="D33" s="22" t="s">
        <v>809</v>
      </c>
      <c r="E33" s="22" t="s">
        <v>998</v>
      </c>
      <c r="F33" s="22" t="s">
        <v>999</v>
      </c>
      <c r="G33" s="22" t="s">
        <v>809</v>
      </c>
      <c r="H33" s="22" t="s">
        <v>989</v>
      </c>
      <c r="I33" s="22" t="s">
        <v>809</v>
      </c>
      <c r="J33" s="22">
        <v>846037604</v>
      </c>
      <c r="K33" s="22" t="s">
        <v>1000</v>
      </c>
    </row>
    <row r="34" spans="2:11">
      <c r="B34" s="21" t="s">
        <v>426</v>
      </c>
      <c r="C34" s="22" t="s">
        <v>809</v>
      </c>
      <c r="D34" s="22" t="s">
        <v>809</v>
      </c>
      <c r="E34" s="22" t="s">
        <v>948</v>
      </c>
      <c r="F34" s="22" t="s">
        <v>809</v>
      </c>
      <c r="G34" s="22" t="s">
        <v>1001</v>
      </c>
      <c r="H34" s="22" t="s">
        <v>989</v>
      </c>
      <c r="I34" s="22" t="s">
        <v>809</v>
      </c>
      <c r="J34" s="22">
        <v>846037604</v>
      </c>
      <c r="K34" s="22" t="s">
        <v>1002</v>
      </c>
    </row>
    <row r="35" spans="2:11">
      <c r="B35" s="21" t="s">
        <v>879</v>
      </c>
      <c r="C35" s="27" t="s">
        <v>908</v>
      </c>
      <c r="D35" s="22" t="s">
        <v>909</v>
      </c>
      <c r="E35" s="22" t="s">
        <v>882</v>
      </c>
      <c r="F35" s="22" t="s">
        <v>883</v>
      </c>
      <c r="G35" s="22" t="s">
        <v>809</v>
      </c>
      <c r="H35" s="22" t="s">
        <v>884</v>
      </c>
      <c r="I35" s="22" t="s">
        <v>1003</v>
      </c>
      <c r="J35" s="22">
        <v>381359217</v>
      </c>
      <c r="K35" s="22" t="s">
        <v>1004</v>
      </c>
    </row>
    <row r="36" spans="2:11">
      <c r="B36" s="21" t="s">
        <v>879</v>
      </c>
      <c r="C36" s="22" t="s">
        <v>809</v>
      </c>
      <c r="D36" s="22" t="s">
        <v>809</v>
      </c>
      <c r="E36" s="22" t="s">
        <v>1005</v>
      </c>
      <c r="F36" s="22" t="s">
        <v>1006</v>
      </c>
      <c r="G36" s="22" t="s">
        <v>809</v>
      </c>
      <c r="H36" s="22" t="s">
        <v>884</v>
      </c>
      <c r="I36" s="22" t="s">
        <v>1007</v>
      </c>
      <c r="J36" s="22">
        <v>381359217</v>
      </c>
      <c r="K36" s="22" t="s">
        <v>1008</v>
      </c>
    </row>
    <row r="37" spans="2:11">
      <c r="B37" s="21" t="s">
        <v>879</v>
      </c>
      <c r="C37" s="22" t="s">
        <v>809</v>
      </c>
      <c r="D37" s="22" t="s">
        <v>809</v>
      </c>
      <c r="E37" s="22" t="s">
        <v>1009</v>
      </c>
      <c r="F37" s="22" t="s">
        <v>1010</v>
      </c>
      <c r="G37" s="22" t="s">
        <v>809</v>
      </c>
      <c r="H37" s="22" t="s">
        <v>884</v>
      </c>
      <c r="I37" s="22" t="s">
        <v>1011</v>
      </c>
      <c r="J37" s="22">
        <v>381359217</v>
      </c>
      <c r="K37" s="22" t="s">
        <v>1012</v>
      </c>
    </row>
    <row r="38" spans="2:11">
      <c r="B38" s="21" t="s">
        <v>1013</v>
      </c>
      <c r="C38" s="27" t="s">
        <v>908</v>
      </c>
      <c r="D38" s="22" t="s">
        <v>909</v>
      </c>
      <c r="E38" s="22" t="s">
        <v>1014</v>
      </c>
      <c r="F38" s="22" t="s">
        <v>1015</v>
      </c>
      <c r="G38" s="22" t="s">
        <v>809</v>
      </c>
      <c r="H38" s="22" t="s">
        <v>1016</v>
      </c>
      <c r="I38" s="22" t="s">
        <v>809</v>
      </c>
      <c r="J38" s="22">
        <v>953169713</v>
      </c>
      <c r="K38" s="22" t="s">
        <v>1017</v>
      </c>
    </row>
    <row r="39" spans="2:11">
      <c r="B39" s="21" t="s">
        <v>1013</v>
      </c>
      <c r="C39" s="22" t="s">
        <v>809</v>
      </c>
      <c r="D39" s="22" t="s">
        <v>809</v>
      </c>
      <c r="E39" s="22" t="s">
        <v>1018</v>
      </c>
      <c r="F39" s="22" t="s">
        <v>1019</v>
      </c>
      <c r="G39" s="22" t="s">
        <v>809</v>
      </c>
      <c r="H39" s="22" t="s">
        <v>1016</v>
      </c>
      <c r="I39" s="22" t="s">
        <v>809</v>
      </c>
      <c r="J39" s="22">
        <v>953169713</v>
      </c>
      <c r="K39" s="22" t="s">
        <v>1020</v>
      </c>
    </row>
    <row r="40" spans="2:11">
      <c r="B40" s="21" t="s">
        <v>1013</v>
      </c>
      <c r="C40" s="22" t="s">
        <v>809</v>
      </c>
      <c r="D40" s="22" t="s">
        <v>809</v>
      </c>
      <c r="E40" s="22" t="s">
        <v>1021</v>
      </c>
      <c r="F40" s="22" t="s">
        <v>1022</v>
      </c>
      <c r="G40" s="22" t="s">
        <v>809</v>
      </c>
      <c r="H40" s="22" t="s">
        <v>1016</v>
      </c>
      <c r="I40" s="22" t="s">
        <v>1023</v>
      </c>
      <c r="J40" s="22">
        <v>953169713</v>
      </c>
      <c r="K40" s="22" t="s">
        <v>1024</v>
      </c>
    </row>
    <row r="41" spans="2:11">
      <c r="B41" s="21" t="s">
        <v>1013</v>
      </c>
      <c r="C41" s="22" t="s">
        <v>809</v>
      </c>
      <c r="D41" s="22" t="s">
        <v>809</v>
      </c>
      <c r="E41" s="22" t="s">
        <v>948</v>
      </c>
      <c r="F41" s="22" t="s">
        <v>809</v>
      </c>
      <c r="G41" s="22" t="s">
        <v>1025</v>
      </c>
      <c r="H41" s="22" t="s">
        <v>1016</v>
      </c>
      <c r="I41" s="22" t="s">
        <v>809</v>
      </c>
      <c r="J41" s="22">
        <v>953169713</v>
      </c>
      <c r="K41" s="22" t="s">
        <v>1026</v>
      </c>
    </row>
    <row r="42" spans="2:11">
      <c r="B42" s="21" t="s">
        <v>172</v>
      </c>
      <c r="C42" s="27" t="s">
        <v>908</v>
      </c>
      <c r="D42" s="22" t="s">
        <v>909</v>
      </c>
      <c r="E42" s="22" t="s">
        <v>174</v>
      </c>
      <c r="F42" s="22" t="s">
        <v>175</v>
      </c>
      <c r="G42" s="22" t="s">
        <v>176</v>
      </c>
      <c r="H42" s="22" t="s">
        <v>173</v>
      </c>
      <c r="I42" s="22" t="s">
        <v>1027</v>
      </c>
      <c r="J42" s="22">
        <v>953367511</v>
      </c>
      <c r="K42" s="22" t="s">
        <v>1028</v>
      </c>
    </row>
    <row r="43" spans="2:11">
      <c r="B43" s="21" t="s">
        <v>600</v>
      </c>
      <c r="C43" s="27" t="s">
        <v>908</v>
      </c>
      <c r="D43" s="22" t="s">
        <v>909</v>
      </c>
      <c r="E43" s="22" t="s">
        <v>134</v>
      </c>
      <c r="F43" s="22" t="s">
        <v>135</v>
      </c>
      <c r="G43" s="22" t="s">
        <v>136</v>
      </c>
      <c r="H43" s="22" t="s">
        <v>133</v>
      </c>
      <c r="I43" s="22" t="s">
        <v>1029</v>
      </c>
      <c r="J43" s="22">
        <v>465129465</v>
      </c>
      <c r="K43" s="22" t="s">
        <v>137</v>
      </c>
    </row>
    <row r="44" spans="2:11">
      <c r="B44" s="21" t="s">
        <v>600</v>
      </c>
      <c r="C44" s="22" t="s">
        <v>809</v>
      </c>
      <c r="D44" s="22" t="s">
        <v>809</v>
      </c>
      <c r="E44" s="22" t="s">
        <v>1030</v>
      </c>
      <c r="F44" s="22" t="s">
        <v>1031</v>
      </c>
      <c r="G44" s="22" t="s">
        <v>1032</v>
      </c>
      <c r="H44" s="22" t="s">
        <v>133</v>
      </c>
      <c r="I44" s="22" t="s">
        <v>809</v>
      </c>
      <c r="J44" s="22">
        <v>465129465</v>
      </c>
      <c r="K44" s="22" t="s">
        <v>1033</v>
      </c>
    </row>
    <row r="45" spans="2:11">
      <c r="B45" s="21" t="s">
        <v>1034</v>
      </c>
      <c r="C45" s="27" t="s">
        <v>908</v>
      </c>
      <c r="D45" s="22" t="s">
        <v>909</v>
      </c>
      <c r="E45" s="22" t="s">
        <v>1035</v>
      </c>
      <c r="F45" s="22" t="s">
        <v>1036</v>
      </c>
      <c r="G45" s="22" t="s">
        <v>1037</v>
      </c>
      <c r="H45" s="22" t="s">
        <v>809</v>
      </c>
      <c r="I45" s="22" t="s">
        <v>809</v>
      </c>
      <c r="J45" s="22">
        <v>936289087</v>
      </c>
      <c r="K45" s="22" t="s">
        <v>1038</v>
      </c>
    </row>
    <row r="46" spans="2:11">
      <c r="B46" s="21" t="s">
        <v>1034</v>
      </c>
      <c r="C46" s="22" t="s">
        <v>809</v>
      </c>
      <c r="D46" s="22" t="s">
        <v>809</v>
      </c>
      <c r="E46" s="22" t="s">
        <v>948</v>
      </c>
      <c r="F46" s="22" t="s">
        <v>809</v>
      </c>
      <c r="G46" s="22" t="s">
        <v>1037</v>
      </c>
      <c r="H46" s="22" t="s">
        <v>809</v>
      </c>
      <c r="I46" s="22" t="s">
        <v>809</v>
      </c>
      <c r="J46" s="22">
        <v>936289087</v>
      </c>
      <c r="K46" s="22" t="s">
        <v>1039</v>
      </c>
    </row>
    <row r="47" spans="2:11">
      <c r="B47" s="21" t="s">
        <v>121</v>
      </c>
      <c r="C47" s="27" t="s">
        <v>908</v>
      </c>
      <c r="D47" s="22" t="s">
        <v>909</v>
      </c>
      <c r="E47" s="22" t="s">
        <v>122</v>
      </c>
      <c r="F47" s="22" t="s">
        <v>51</v>
      </c>
      <c r="G47" s="22" t="s">
        <v>809</v>
      </c>
      <c r="H47" s="22" t="s">
        <v>860</v>
      </c>
      <c r="I47" s="22" t="s">
        <v>809</v>
      </c>
      <c r="J47" s="22">
        <v>956027266</v>
      </c>
      <c r="K47" s="22" t="s">
        <v>1040</v>
      </c>
    </row>
    <row r="48" spans="2:11">
      <c r="B48" s="21" t="s">
        <v>121</v>
      </c>
      <c r="C48" s="22" t="s">
        <v>809</v>
      </c>
      <c r="D48" s="22" t="s">
        <v>809</v>
      </c>
      <c r="E48" s="22" t="s">
        <v>1041</v>
      </c>
      <c r="F48" s="22" t="s">
        <v>1042</v>
      </c>
      <c r="G48" s="22" t="s">
        <v>809</v>
      </c>
      <c r="H48" s="22" t="s">
        <v>860</v>
      </c>
      <c r="I48" s="22" t="s">
        <v>809</v>
      </c>
      <c r="J48" s="22">
        <v>956027266</v>
      </c>
      <c r="K48" s="22" t="s">
        <v>1043</v>
      </c>
    </row>
    <row r="49" spans="2:11">
      <c r="B49" s="21" t="s">
        <v>121</v>
      </c>
      <c r="C49" s="22" t="s">
        <v>809</v>
      </c>
      <c r="D49" s="22" t="s">
        <v>809</v>
      </c>
      <c r="E49" s="22" t="s">
        <v>1044</v>
      </c>
      <c r="F49" s="22" t="s">
        <v>1045</v>
      </c>
      <c r="G49" s="22" t="s">
        <v>809</v>
      </c>
      <c r="H49" s="22" t="s">
        <v>860</v>
      </c>
      <c r="I49" s="22" t="s">
        <v>809</v>
      </c>
      <c r="J49" s="22">
        <v>956027266</v>
      </c>
      <c r="K49" s="22" t="s">
        <v>1046</v>
      </c>
    </row>
    <row r="50" spans="2:11">
      <c r="B50" s="21" t="s">
        <v>121</v>
      </c>
      <c r="C50" s="22" t="s">
        <v>809</v>
      </c>
      <c r="D50" s="22" t="s">
        <v>809</v>
      </c>
      <c r="E50" s="22" t="s">
        <v>948</v>
      </c>
      <c r="F50" s="22" t="s">
        <v>809</v>
      </c>
      <c r="G50" s="22" t="s">
        <v>809</v>
      </c>
      <c r="H50" s="22" t="s">
        <v>1047</v>
      </c>
      <c r="I50" s="22" t="s">
        <v>809</v>
      </c>
      <c r="J50" s="22">
        <v>956027266</v>
      </c>
      <c r="K50" s="22" t="s">
        <v>1048</v>
      </c>
    </row>
    <row r="51" spans="2:11">
      <c r="B51" s="21" t="s">
        <v>487</v>
      </c>
      <c r="C51" s="27" t="s">
        <v>908</v>
      </c>
      <c r="D51" s="22" t="s">
        <v>909</v>
      </c>
      <c r="E51" s="22" t="s">
        <v>489</v>
      </c>
      <c r="F51" s="22" t="s">
        <v>142</v>
      </c>
      <c r="G51" s="22" t="s">
        <v>490</v>
      </c>
      <c r="H51" s="22" t="s">
        <v>488</v>
      </c>
      <c r="I51" s="22" t="s">
        <v>1049</v>
      </c>
      <c r="J51" s="22">
        <v>911501066</v>
      </c>
      <c r="K51" s="22" t="s">
        <v>753</v>
      </c>
    </row>
    <row r="52" spans="2:11">
      <c r="B52" s="21" t="s">
        <v>487</v>
      </c>
      <c r="C52" s="22" t="s">
        <v>809</v>
      </c>
      <c r="D52" s="22" t="s">
        <v>809</v>
      </c>
      <c r="E52" s="22" t="s">
        <v>1050</v>
      </c>
      <c r="F52" s="22" t="s">
        <v>1051</v>
      </c>
      <c r="G52" s="22" t="s">
        <v>1052</v>
      </c>
      <c r="H52" s="22" t="s">
        <v>488</v>
      </c>
      <c r="I52" s="22" t="s">
        <v>1053</v>
      </c>
      <c r="J52" s="22">
        <v>911501066</v>
      </c>
      <c r="K52" s="22" t="s">
        <v>1054</v>
      </c>
    </row>
    <row r="53" spans="2:11">
      <c r="B53" s="21" t="s">
        <v>487</v>
      </c>
      <c r="C53" s="22" t="s">
        <v>809</v>
      </c>
      <c r="D53" s="22" t="s">
        <v>809</v>
      </c>
      <c r="E53" s="22" t="s">
        <v>1055</v>
      </c>
      <c r="F53" s="22" t="s">
        <v>260</v>
      </c>
      <c r="G53" s="22" t="s">
        <v>809</v>
      </c>
      <c r="H53" s="22" t="s">
        <v>488</v>
      </c>
      <c r="I53" s="22" t="s">
        <v>1056</v>
      </c>
      <c r="J53" s="22">
        <v>911501066</v>
      </c>
      <c r="K53" s="22" t="s">
        <v>1057</v>
      </c>
    </row>
    <row r="54" spans="2:11">
      <c r="B54" s="21" t="s">
        <v>1058</v>
      </c>
      <c r="C54" s="27" t="s">
        <v>908</v>
      </c>
      <c r="D54" s="22" t="s">
        <v>909</v>
      </c>
      <c r="E54" s="22" t="s">
        <v>1059</v>
      </c>
      <c r="F54" s="22" t="s">
        <v>1060</v>
      </c>
      <c r="G54" s="22" t="s">
        <v>1061</v>
      </c>
      <c r="H54" s="22" t="s">
        <v>1062</v>
      </c>
      <c r="I54" s="22" t="s">
        <v>809</v>
      </c>
      <c r="J54" s="22">
        <v>956092354</v>
      </c>
      <c r="K54" s="22" t="s">
        <v>1063</v>
      </c>
    </row>
    <row r="55" spans="2:11">
      <c r="B55" s="21" t="s">
        <v>1058</v>
      </c>
      <c r="C55" s="22" t="s">
        <v>809</v>
      </c>
      <c r="D55" s="22" t="s">
        <v>809</v>
      </c>
      <c r="E55" s="22" t="s">
        <v>1064</v>
      </c>
      <c r="F55" s="22" t="s">
        <v>740</v>
      </c>
      <c r="G55" s="22" t="s">
        <v>1065</v>
      </c>
      <c r="H55" s="22" t="s">
        <v>1062</v>
      </c>
      <c r="I55" s="22" t="s">
        <v>809</v>
      </c>
      <c r="J55" s="22">
        <v>956092354</v>
      </c>
      <c r="K55" s="22" t="s">
        <v>1066</v>
      </c>
    </row>
    <row r="56" spans="2:11">
      <c r="B56" s="21" t="s">
        <v>1058</v>
      </c>
      <c r="C56" s="22" t="s">
        <v>809</v>
      </c>
      <c r="D56" s="22" t="s">
        <v>809</v>
      </c>
      <c r="E56" s="22" t="s">
        <v>1067</v>
      </c>
      <c r="F56" s="22" t="s">
        <v>260</v>
      </c>
      <c r="G56" s="22" t="s">
        <v>809</v>
      </c>
      <c r="H56" s="22" t="s">
        <v>1062</v>
      </c>
      <c r="I56" s="22" t="s">
        <v>809</v>
      </c>
      <c r="J56" s="22">
        <v>956092354</v>
      </c>
      <c r="K56" s="22" t="s">
        <v>1068</v>
      </c>
    </row>
    <row r="57" spans="2:11">
      <c r="B57" s="21" t="s">
        <v>1058</v>
      </c>
      <c r="C57" s="22" t="s">
        <v>809</v>
      </c>
      <c r="D57" s="22" t="s">
        <v>809</v>
      </c>
      <c r="E57" s="22" t="s">
        <v>948</v>
      </c>
      <c r="F57" s="22" t="s">
        <v>809</v>
      </c>
      <c r="G57" s="22" t="s">
        <v>1061</v>
      </c>
      <c r="H57" s="22" t="s">
        <v>1062</v>
      </c>
      <c r="I57" s="22" t="s">
        <v>809</v>
      </c>
      <c r="J57" s="22">
        <v>956092354</v>
      </c>
      <c r="K57" s="22" t="s">
        <v>1069</v>
      </c>
    </row>
    <row r="58" spans="2:11">
      <c r="B58" s="21" t="s">
        <v>829</v>
      </c>
      <c r="C58" s="27" t="s">
        <v>908</v>
      </c>
      <c r="D58" s="22" t="s">
        <v>909</v>
      </c>
      <c r="E58" s="22" t="s">
        <v>832</v>
      </c>
      <c r="F58" s="22" t="s">
        <v>833</v>
      </c>
      <c r="G58" s="22" t="s">
        <v>809</v>
      </c>
      <c r="H58" s="22" t="s">
        <v>809</v>
      </c>
      <c r="I58" s="22" t="s">
        <v>809</v>
      </c>
      <c r="J58" s="22">
        <v>421444870</v>
      </c>
      <c r="K58" s="22" t="s">
        <v>1070</v>
      </c>
    </row>
    <row r="59" spans="2:11">
      <c r="B59" s="21" t="s">
        <v>829</v>
      </c>
      <c r="C59" s="22" t="s">
        <v>809</v>
      </c>
      <c r="D59" s="22" t="s">
        <v>809</v>
      </c>
      <c r="E59" s="22" t="s">
        <v>1071</v>
      </c>
      <c r="F59" s="22" t="s">
        <v>1072</v>
      </c>
      <c r="G59" s="22" t="s">
        <v>809</v>
      </c>
      <c r="H59" s="22" t="s">
        <v>809</v>
      </c>
      <c r="I59" s="22" t="s">
        <v>809</v>
      </c>
      <c r="J59" s="22">
        <v>421444870</v>
      </c>
      <c r="K59" s="22" t="s">
        <v>1073</v>
      </c>
    </row>
    <row r="60" spans="2:11">
      <c r="B60" s="21" t="s">
        <v>829</v>
      </c>
      <c r="C60" s="22" t="s">
        <v>809</v>
      </c>
      <c r="D60" s="22" t="s">
        <v>809</v>
      </c>
      <c r="E60" s="22" t="s">
        <v>1074</v>
      </c>
      <c r="F60" s="22" t="s">
        <v>1075</v>
      </c>
      <c r="G60" s="22" t="s">
        <v>809</v>
      </c>
      <c r="H60" s="22" t="s">
        <v>809</v>
      </c>
      <c r="I60" s="22" t="s">
        <v>809</v>
      </c>
      <c r="J60" s="22">
        <v>421444870</v>
      </c>
      <c r="K60" s="22" t="s">
        <v>1076</v>
      </c>
    </row>
    <row r="61" spans="2:11">
      <c r="B61" s="21" t="s">
        <v>829</v>
      </c>
      <c r="C61" s="22" t="s">
        <v>809</v>
      </c>
      <c r="D61" s="22" t="s">
        <v>809</v>
      </c>
      <c r="E61" s="22" t="s">
        <v>948</v>
      </c>
      <c r="F61" s="22" t="s">
        <v>809</v>
      </c>
      <c r="G61" s="22" t="s">
        <v>809</v>
      </c>
      <c r="H61" s="22" t="s">
        <v>809</v>
      </c>
      <c r="I61" s="22" t="s">
        <v>809</v>
      </c>
      <c r="J61" s="22">
        <v>421444870</v>
      </c>
      <c r="K61" s="22" t="s">
        <v>1077</v>
      </c>
    </row>
    <row r="62" spans="2:11">
      <c r="B62" s="21" t="s">
        <v>872</v>
      </c>
      <c r="C62" s="27" t="s">
        <v>908</v>
      </c>
      <c r="D62" s="22" t="s">
        <v>909</v>
      </c>
      <c r="E62" s="22" t="s">
        <v>875</v>
      </c>
      <c r="F62" s="22" t="s">
        <v>142</v>
      </c>
      <c r="G62" s="22" t="s">
        <v>876</v>
      </c>
      <c r="H62" s="22" t="s">
        <v>877</v>
      </c>
      <c r="I62" s="22" t="s">
        <v>1078</v>
      </c>
      <c r="J62" s="22">
        <v>330247161</v>
      </c>
      <c r="K62" s="22" t="s">
        <v>1079</v>
      </c>
    </row>
    <row r="63" spans="2:11">
      <c r="B63" s="21" t="s">
        <v>872</v>
      </c>
      <c r="C63" s="22" t="s">
        <v>809</v>
      </c>
      <c r="D63" s="22" t="s">
        <v>809</v>
      </c>
      <c r="E63" s="22" t="s">
        <v>948</v>
      </c>
      <c r="F63" s="22" t="s">
        <v>809</v>
      </c>
      <c r="G63" s="22" t="s">
        <v>1080</v>
      </c>
      <c r="H63" s="22" t="s">
        <v>877</v>
      </c>
      <c r="I63" s="22" t="s">
        <v>809</v>
      </c>
      <c r="J63" s="22">
        <v>330247161</v>
      </c>
      <c r="K63" s="22" t="s">
        <v>1081</v>
      </c>
    </row>
    <row r="64" spans="2:11">
      <c r="B64" s="21" t="s">
        <v>866</v>
      </c>
      <c r="C64" s="27" t="s">
        <v>908</v>
      </c>
      <c r="D64" s="22" t="s">
        <v>909</v>
      </c>
      <c r="E64" s="22" t="s">
        <v>869</v>
      </c>
      <c r="F64" s="22" t="s">
        <v>142</v>
      </c>
      <c r="G64" s="22" t="s">
        <v>870</v>
      </c>
      <c r="H64" s="22" t="s">
        <v>809</v>
      </c>
      <c r="I64" s="22" t="s">
        <v>1082</v>
      </c>
      <c r="J64" s="22">
        <v>836622391</v>
      </c>
      <c r="K64" s="22" t="s">
        <v>1083</v>
      </c>
    </row>
    <row r="65" spans="2:11">
      <c r="B65" s="21" t="s">
        <v>866</v>
      </c>
      <c r="C65" s="22" t="s">
        <v>809</v>
      </c>
      <c r="D65" s="22" t="s">
        <v>809</v>
      </c>
      <c r="E65" s="22" t="s">
        <v>1084</v>
      </c>
      <c r="F65" s="22" t="s">
        <v>1085</v>
      </c>
      <c r="G65" s="22" t="s">
        <v>870</v>
      </c>
      <c r="H65" s="22" t="s">
        <v>809</v>
      </c>
      <c r="I65" s="22" t="s">
        <v>809</v>
      </c>
      <c r="J65" s="22">
        <v>836622391</v>
      </c>
      <c r="K65" s="22" t="s">
        <v>1085</v>
      </c>
    </row>
    <row r="66" spans="2:11">
      <c r="B66" s="21" t="s">
        <v>866</v>
      </c>
      <c r="C66" s="22" t="s">
        <v>809</v>
      </c>
      <c r="D66" s="22" t="s">
        <v>809</v>
      </c>
      <c r="E66" s="22" t="s">
        <v>948</v>
      </c>
      <c r="F66" s="22" t="s">
        <v>809</v>
      </c>
      <c r="G66" s="22" t="s">
        <v>870</v>
      </c>
      <c r="H66" s="22" t="s">
        <v>809</v>
      </c>
      <c r="I66" s="22" t="s">
        <v>809</v>
      </c>
      <c r="J66" s="22">
        <v>836622391</v>
      </c>
      <c r="K66" s="22" t="s">
        <v>1086</v>
      </c>
    </row>
    <row r="67" spans="2:11">
      <c r="B67" s="21" t="s">
        <v>1087</v>
      </c>
      <c r="C67" s="27" t="s">
        <v>908</v>
      </c>
      <c r="D67" s="22" t="s">
        <v>909</v>
      </c>
      <c r="E67" s="22" t="s">
        <v>347</v>
      </c>
      <c r="F67" s="22" t="s">
        <v>142</v>
      </c>
      <c r="G67" s="22" t="s">
        <v>809</v>
      </c>
      <c r="H67" s="22" t="s">
        <v>1088</v>
      </c>
      <c r="I67" s="22" t="s">
        <v>1089</v>
      </c>
      <c r="J67" s="22">
        <v>910745225</v>
      </c>
      <c r="K67" s="22" t="s">
        <v>1090</v>
      </c>
    </row>
    <row r="68" spans="2:11">
      <c r="B68" s="21" t="s">
        <v>1087</v>
      </c>
      <c r="C68" s="22" t="s">
        <v>809</v>
      </c>
      <c r="D68" s="22" t="s">
        <v>809</v>
      </c>
      <c r="E68" s="22" t="s">
        <v>1091</v>
      </c>
      <c r="F68" s="22" t="s">
        <v>927</v>
      </c>
      <c r="G68" s="22" t="s">
        <v>809</v>
      </c>
      <c r="H68" s="22" t="s">
        <v>1088</v>
      </c>
      <c r="I68" s="22" t="s">
        <v>809</v>
      </c>
      <c r="J68" s="22">
        <v>910745225</v>
      </c>
      <c r="K68" s="22" t="s">
        <v>1092</v>
      </c>
    </row>
    <row r="69" spans="2:11">
      <c r="B69" s="21" t="s">
        <v>1087</v>
      </c>
      <c r="C69" s="22" t="s">
        <v>809</v>
      </c>
      <c r="D69" s="22" t="s">
        <v>809</v>
      </c>
      <c r="E69" s="22" t="s">
        <v>1093</v>
      </c>
      <c r="F69" s="22" t="s">
        <v>927</v>
      </c>
      <c r="G69" s="22" t="s">
        <v>809</v>
      </c>
      <c r="H69" s="22" t="s">
        <v>1088</v>
      </c>
      <c r="I69" s="22" t="s">
        <v>809</v>
      </c>
      <c r="J69" s="22">
        <v>910745225</v>
      </c>
      <c r="K69" s="22" t="s">
        <v>1094</v>
      </c>
    </row>
    <row r="70" spans="2:11">
      <c r="B70" s="21" t="s">
        <v>1087</v>
      </c>
      <c r="C70" s="22" t="s">
        <v>809</v>
      </c>
      <c r="D70" s="22" t="s">
        <v>809</v>
      </c>
      <c r="E70" s="22" t="s">
        <v>948</v>
      </c>
      <c r="F70" s="22" t="s">
        <v>809</v>
      </c>
      <c r="G70" s="22" t="s">
        <v>1088</v>
      </c>
      <c r="H70" s="22" t="s">
        <v>346</v>
      </c>
      <c r="I70" s="22" t="s">
        <v>809</v>
      </c>
      <c r="J70" s="22">
        <v>910745225</v>
      </c>
      <c r="K70" s="22" t="s">
        <v>1095</v>
      </c>
    </row>
    <row r="71" spans="2:11">
      <c r="B71" s="21" t="s">
        <v>851</v>
      </c>
      <c r="C71" s="27" t="s">
        <v>908</v>
      </c>
      <c r="D71" s="22" t="s">
        <v>909</v>
      </c>
      <c r="E71" s="22" t="s">
        <v>334</v>
      </c>
      <c r="F71" s="22" t="s">
        <v>51</v>
      </c>
      <c r="G71" s="22" t="s">
        <v>335</v>
      </c>
      <c r="H71" s="22" t="s">
        <v>809</v>
      </c>
      <c r="I71" s="22" t="s">
        <v>1096</v>
      </c>
      <c r="J71" s="22">
        <v>931254171</v>
      </c>
      <c r="K71" s="22" t="s">
        <v>337</v>
      </c>
    </row>
    <row r="72" spans="2:11">
      <c r="B72" s="21" t="s">
        <v>851</v>
      </c>
      <c r="C72" s="22" t="s">
        <v>809</v>
      </c>
      <c r="D72" s="22" t="s">
        <v>809</v>
      </c>
      <c r="E72" s="22" t="s">
        <v>1097</v>
      </c>
      <c r="F72" s="22" t="s">
        <v>1098</v>
      </c>
      <c r="G72" s="22" t="s">
        <v>1099</v>
      </c>
      <c r="H72" s="22" t="s">
        <v>809</v>
      </c>
      <c r="I72" s="22" t="s">
        <v>1100</v>
      </c>
      <c r="J72" s="22">
        <v>931254171</v>
      </c>
      <c r="K72" s="22" t="s">
        <v>1101</v>
      </c>
    </row>
    <row r="73" spans="2:11">
      <c r="B73" s="21" t="s">
        <v>851</v>
      </c>
      <c r="C73" s="22" t="s">
        <v>809</v>
      </c>
      <c r="D73" s="22" t="s">
        <v>809</v>
      </c>
      <c r="E73" s="22" t="s">
        <v>1102</v>
      </c>
      <c r="F73" s="22" t="s">
        <v>1103</v>
      </c>
      <c r="G73" s="22" t="s">
        <v>1104</v>
      </c>
      <c r="H73" s="22" t="s">
        <v>809</v>
      </c>
      <c r="I73" s="22" t="s">
        <v>809</v>
      </c>
      <c r="J73" s="22">
        <v>931254171</v>
      </c>
      <c r="K73" s="22" t="s">
        <v>1105</v>
      </c>
    </row>
    <row r="74" spans="2:11">
      <c r="B74" s="21" t="s">
        <v>851</v>
      </c>
      <c r="C74" s="22" t="s">
        <v>809</v>
      </c>
      <c r="D74" s="22" t="s">
        <v>809</v>
      </c>
      <c r="E74" s="22" t="s">
        <v>1106</v>
      </c>
      <c r="F74" s="22" t="s">
        <v>260</v>
      </c>
      <c r="G74" s="22" t="s">
        <v>1107</v>
      </c>
      <c r="H74" s="22" t="s">
        <v>809</v>
      </c>
      <c r="I74" s="22" t="s">
        <v>809</v>
      </c>
      <c r="J74" s="22">
        <v>931254171</v>
      </c>
      <c r="K74" s="22" t="s">
        <v>1108</v>
      </c>
    </row>
    <row r="75" spans="2:11">
      <c r="B75" s="21" t="s">
        <v>851</v>
      </c>
      <c r="C75" s="22" t="s">
        <v>809</v>
      </c>
      <c r="D75" s="22" t="s">
        <v>809</v>
      </c>
      <c r="E75" s="22" t="s">
        <v>948</v>
      </c>
      <c r="F75" s="22" t="s">
        <v>809</v>
      </c>
      <c r="G75" s="22" t="s">
        <v>1109</v>
      </c>
      <c r="H75" s="22" t="s">
        <v>809</v>
      </c>
      <c r="I75" s="22" t="s">
        <v>809</v>
      </c>
      <c r="J75" s="22">
        <v>931254171</v>
      </c>
      <c r="K75" s="22" t="s">
        <v>1110</v>
      </c>
    </row>
    <row r="76" spans="2:11">
      <c r="B76" s="21" t="s">
        <v>1111</v>
      </c>
      <c r="C76" s="27" t="s">
        <v>908</v>
      </c>
      <c r="D76" s="22" t="s">
        <v>909</v>
      </c>
      <c r="E76" s="22" t="s">
        <v>1112</v>
      </c>
      <c r="F76" s="22" t="s">
        <v>1113</v>
      </c>
      <c r="G76" s="22" t="s">
        <v>1114</v>
      </c>
      <c r="H76" s="22" t="s">
        <v>1115</v>
      </c>
      <c r="I76" s="22" t="s">
        <v>809</v>
      </c>
      <c r="J76" s="22">
        <v>330200133</v>
      </c>
      <c r="K76" s="22" t="s">
        <v>1116</v>
      </c>
    </row>
    <row r="77" spans="2:11">
      <c r="B77" s="21" t="s">
        <v>1111</v>
      </c>
      <c r="C77" s="22" t="s">
        <v>809</v>
      </c>
      <c r="D77" s="22" t="s">
        <v>809</v>
      </c>
      <c r="E77" s="22" t="s">
        <v>1117</v>
      </c>
      <c r="F77" s="22" t="s">
        <v>1118</v>
      </c>
      <c r="G77" s="22" t="s">
        <v>1119</v>
      </c>
      <c r="H77" s="22" t="s">
        <v>1115</v>
      </c>
      <c r="I77" s="22" t="s">
        <v>809</v>
      </c>
      <c r="J77" s="22">
        <v>330200133</v>
      </c>
      <c r="K77" s="22" t="s">
        <v>1120</v>
      </c>
    </row>
    <row r="78" spans="2:11">
      <c r="B78" s="21" t="s">
        <v>844</v>
      </c>
      <c r="C78" s="27" t="s">
        <v>908</v>
      </c>
      <c r="D78" s="22" t="s">
        <v>909</v>
      </c>
      <c r="E78" s="22" t="s">
        <v>847</v>
      </c>
      <c r="F78" s="22" t="s">
        <v>142</v>
      </c>
      <c r="G78" s="22" t="s">
        <v>848</v>
      </c>
      <c r="H78" s="22" t="s">
        <v>849</v>
      </c>
      <c r="I78" s="22" t="s">
        <v>1121</v>
      </c>
      <c r="J78" s="22">
        <v>943167546</v>
      </c>
      <c r="K78" s="22" t="s">
        <v>1122</v>
      </c>
    </row>
    <row r="79" spans="2:11">
      <c r="B79" s="21" t="s">
        <v>844</v>
      </c>
      <c r="C79" s="22" t="s">
        <v>809</v>
      </c>
      <c r="D79" s="22" t="s">
        <v>809</v>
      </c>
      <c r="E79" s="22" t="s">
        <v>1123</v>
      </c>
      <c r="F79" s="22" t="s">
        <v>927</v>
      </c>
      <c r="G79" s="22" t="s">
        <v>1124</v>
      </c>
      <c r="H79" s="22" t="s">
        <v>849</v>
      </c>
      <c r="I79" s="22" t="s">
        <v>809</v>
      </c>
      <c r="J79" s="22">
        <v>943167546</v>
      </c>
      <c r="K79" s="22" t="s">
        <v>1125</v>
      </c>
    </row>
    <row r="80" spans="2:11">
      <c r="B80" s="21" t="s">
        <v>844</v>
      </c>
      <c r="C80" s="22" t="s">
        <v>809</v>
      </c>
      <c r="D80" s="22" t="s">
        <v>809</v>
      </c>
      <c r="E80" s="22" t="s">
        <v>1126</v>
      </c>
      <c r="F80" s="22" t="s">
        <v>1127</v>
      </c>
      <c r="G80" s="22" t="s">
        <v>809</v>
      </c>
      <c r="H80" s="22" t="s">
        <v>849</v>
      </c>
      <c r="I80" s="22" t="s">
        <v>809</v>
      </c>
      <c r="J80" s="22">
        <v>943167546</v>
      </c>
      <c r="K80" s="22" t="s">
        <v>1128</v>
      </c>
    </row>
    <row r="81" spans="2:11">
      <c r="B81" s="21" t="s">
        <v>844</v>
      </c>
      <c r="C81" s="22" t="s">
        <v>809</v>
      </c>
      <c r="D81" s="22" t="s">
        <v>809</v>
      </c>
      <c r="E81" s="22" t="s">
        <v>948</v>
      </c>
      <c r="F81" s="22" t="s">
        <v>809</v>
      </c>
      <c r="G81" s="22" t="s">
        <v>1129</v>
      </c>
      <c r="H81" s="22" t="s">
        <v>849</v>
      </c>
      <c r="I81" s="22" t="s">
        <v>809</v>
      </c>
      <c r="J81" s="22">
        <v>943167546</v>
      </c>
      <c r="K81" s="22" t="s">
        <v>1130</v>
      </c>
    </row>
    <row r="82" spans="2:11">
      <c r="B82" s="21" t="s">
        <v>836</v>
      </c>
      <c r="C82" s="27" t="s">
        <v>908</v>
      </c>
      <c r="D82" s="22" t="s">
        <v>909</v>
      </c>
      <c r="E82" s="22" t="s">
        <v>839</v>
      </c>
      <c r="F82" s="22" t="s">
        <v>840</v>
      </c>
      <c r="G82" s="22" t="s">
        <v>841</v>
      </c>
      <c r="H82" s="22" t="s">
        <v>842</v>
      </c>
      <c r="I82" s="22" t="s">
        <v>1131</v>
      </c>
      <c r="J82" s="22">
        <v>956093178</v>
      </c>
      <c r="K82" s="22" t="s">
        <v>1132</v>
      </c>
    </row>
    <row r="83" spans="2:11">
      <c r="B83" s="21" t="s">
        <v>836</v>
      </c>
      <c r="C83" s="22" t="s">
        <v>809</v>
      </c>
      <c r="D83" s="22" t="s">
        <v>809</v>
      </c>
      <c r="E83" s="22" t="s">
        <v>1133</v>
      </c>
      <c r="F83" s="22" t="s">
        <v>1134</v>
      </c>
      <c r="G83" s="22" t="s">
        <v>1135</v>
      </c>
      <c r="H83" s="22" t="s">
        <v>842</v>
      </c>
      <c r="I83" s="22" t="s">
        <v>809</v>
      </c>
      <c r="J83" s="22">
        <v>956093178</v>
      </c>
      <c r="K83" s="22" t="s">
        <v>1136</v>
      </c>
    </row>
    <row r="84" spans="2:11">
      <c r="B84" s="21" t="s">
        <v>836</v>
      </c>
      <c r="C84" s="22" t="s">
        <v>809</v>
      </c>
      <c r="D84" s="22" t="s">
        <v>809</v>
      </c>
      <c r="E84" s="22" t="s">
        <v>1137</v>
      </c>
      <c r="F84" s="22" t="s">
        <v>1138</v>
      </c>
      <c r="G84" s="22" t="s">
        <v>1139</v>
      </c>
      <c r="H84" s="22" t="s">
        <v>842</v>
      </c>
      <c r="I84" s="22" t="s">
        <v>809</v>
      </c>
      <c r="J84" s="22">
        <v>956093178</v>
      </c>
      <c r="K84" s="22" t="s">
        <v>1140</v>
      </c>
    </row>
    <row r="85" spans="2:11">
      <c r="B85" s="21" t="s">
        <v>836</v>
      </c>
      <c r="C85" s="22" t="s">
        <v>809</v>
      </c>
      <c r="D85" s="22" t="s">
        <v>809</v>
      </c>
      <c r="E85" s="22" t="s">
        <v>1141</v>
      </c>
      <c r="F85" s="22" t="s">
        <v>1142</v>
      </c>
      <c r="G85" s="22" t="s">
        <v>809</v>
      </c>
      <c r="H85" s="22" t="s">
        <v>842</v>
      </c>
      <c r="I85" s="22" t="s">
        <v>809</v>
      </c>
      <c r="J85" s="22">
        <v>956093178</v>
      </c>
      <c r="K85" s="22" t="s">
        <v>1143</v>
      </c>
    </row>
    <row r="86" spans="2:11">
      <c r="B86" s="21" t="s">
        <v>836</v>
      </c>
      <c r="C86" s="22" t="s">
        <v>809</v>
      </c>
      <c r="D86" s="22" t="s">
        <v>809</v>
      </c>
      <c r="E86" s="22" t="s">
        <v>948</v>
      </c>
      <c r="F86" s="22" t="s">
        <v>809</v>
      </c>
      <c r="G86" s="22" t="s">
        <v>1144</v>
      </c>
      <c r="H86" s="22" t="s">
        <v>842</v>
      </c>
      <c r="I86" s="22" t="s">
        <v>809</v>
      </c>
      <c r="J86" s="22">
        <v>956093178</v>
      </c>
      <c r="K86" s="22" t="s">
        <v>1145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38CF4-CF39-4DF9-BAAA-5C8645B89851}">
  <dimension ref="C2:Q107"/>
  <sheetViews>
    <sheetView workbookViewId="0">
      <selection activeCell="T13" sqref="T13"/>
    </sheetView>
  </sheetViews>
  <sheetFormatPr defaultRowHeight="15"/>
  <sheetData>
    <row r="2" spans="3:17">
      <c r="C2" s="2" t="s">
        <v>1146</v>
      </c>
      <c r="D2" s="1"/>
      <c r="E2" t="s">
        <v>1147</v>
      </c>
      <c r="F2" t="s">
        <v>1148</v>
      </c>
      <c r="G2" t="s">
        <v>98</v>
      </c>
      <c r="I2" t="s">
        <v>1149</v>
      </c>
      <c r="M2" t="s">
        <v>1150</v>
      </c>
      <c r="N2" t="s">
        <v>44</v>
      </c>
      <c r="O2" t="s">
        <v>45</v>
      </c>
      <c r="Q2" s="3"/>
    </row>
    <row r="3" spans="3:17">
      <c r="C3" s="8" t="s">
        <v>1151</v>
      </c>
      <c r="D3" s="14"/>
      <c r="E3" s="10" t="s">
        <v>1152</v>
      </c>
      <c r="F3" s="10" t="s">
        <v>1153</v>
      </c>
      <c r="G3" s="10" t="s">
        <v>142</v>
      </c>
      <c r="H3" s="10"/>
      <c r="I3" s="10" t="s">
        <v>1154</v>
      </c>
      <c r="J3" s="10"/>
      <c r="K3" s="10"/>
      <c r="L3" s="10"/>
      <c r="M3" s="10" t="s">
        <v>1155</v>
      </c>
      <c r="N3" s="10" t="s">
        <v>36</v>
      </c>
      <c r="O3" s="10" t="s">
        <v>166</v>
      </c>
      <c r="P3" s="10"/>
      <c r="Q3" s="7"/>
    </row>
    <row r="4" spans="3:17" ht="16.5">
      <c r="C4" s="17" t="s">
        <v>1013</v>
      </c>
      <c r="D4" s="14"/>
      <c r="E4" s="10"/>
      <c r="F4" s="10" t="s">
        <v>1156</v>
      </c>
      <c r="G4" s="10"/>
      <c r="H4" s="10"/>
      <c r="I4" s="15" t="s">
        <v>34</v>
      </c>
      <c r="J4" s="15"/>
      <c r="K4" s="15">
        <v>953169713</v>
      </c>
      <c r="L4" s="9"/>
      <c r="M4" s="10" t="s">
        <v>1157</v>
      </c>
      <c r="N4" s="11"/>
      <c r="O4" s="10"/>
      <c r="P4" s="10"/>
      <c r="Q4" s="7"/>
    </row>
    <row r="5" spans="3:17" ht="16.5">
      <c r="C5" s="17" t="s">
        <v>1158</v>
      </c>
      <c r="D5" s="14"/>
      <c r="E5" s="10" t="s">
        <v>1159</v>
      </c>
      <c r="F5" s="10"/>
      <c r="G5" s="10"/>
      <c r="H5" s="10"/>
      <c r="I5" s="15" t="s">
        <v>34</v>
      </c>
      <c r="J5" s="15"/>
      <c r="K5" s="15">
        <v>946075613</v>
      </c>
      <c r="L5" s="9"/>
      <c r="M5" s="10" t="s">
        <v>1160</v>
      </c>
      <c r="N5" s="11"/>
      <c r="O5" s="10"/>
      <c r="P5" s="10"/>
      <c r="Q5" s="7"/>
    </row>
    <row r="6" spans="3:17">
      <c r="C6" s="8" t="s">
        <v>1161</v>
      </c>
      <c r="D6" s="14"/>
      <c r="E6" s="10" t="s">
        <v>1162</v>
      </c>
      <c r="F6" s="10" t="s">
        <v>1163</v>
      </c>
      <c r="G6" s="10" t="s">
        <v>142</v>
      </c>
      <c r="H6" s="10"/>
      <c r="I6" s="10" t="s">
        <v>164</v>
      </c>
      <c r="J6" s="10"/>
      <c r="K6" s="10"/>
      <c r="L6" s="10"/>
      <c r="M6" s="10" t="s">
        <v>1164</v>
      </c>
      <c r="N6" s="10" t="s">
        <v>36</v>
      </c>
      <c r="O6" s="10" t="s">
        <v>193</v>
      </c>
      <c r="P6" s="10"/>
      <c r="Q6" s="7"/>
    </row>
    <row r="7" spans="3:17">
      <c r="C7" s="2" t="s">
        <v>1165</v>
      </c>
      <c r="D7" s="1"/>
      <c r="E7" t="s">
        <v>1166</v>
      </c>
      <c r="F7" t="s">
        <v>1148</v>
      </c>
      <c r="G7" t="s">
        <v>98</v>
      </c>
      <c r="I7" t="s">
        <v>301</v>
      </c>
      <c r="M7" t="s">
        <v>1167</v>
      </c>
      <c r="N7" t="s">
        <v>44</v>
      </c>
      <c r="O7" t="s">
        <v>45</v>
      </c>
      <c r="Q7" s="3"/>
    </row>
    <row r="8" spans="3:17">
      <c r="C8" s="8" t="s">
        <v>1168</v>
      </c>
      <c r="D8" s="14"/>
      <c r="E8" s="10" t="s">
        <v>1169</v>
      </c>
      <c r="F8" s="10" t="s">
        <v>1170</v>
      </c>
      <c r="G8" s="10" t="s">
        <v>1171</v>
      </c>
      <c r="H8" s="10"/>
      <c r="I8" s="10" t="s">
        <v>566</v>
      </c>
      <c r="J8" s="10"/>
      <c r="K8" s="10"/>
      <c r="L8" s="10" t="s">
        <v>1172</v>
      </c>
      <c r="M8" s="10" t="s">
        <v>1173</v>
      </c>
      <c r="N8" s="10" t="s">
        <v>27</v>
      </c>
      <c r="O8" s="11"/>
      <c r="P8" s="11"/>
      <c r="Q8" s="4"/>
    </row>
    <row r="9" spans="3:17">
      <c r="C9" s="8" t="s">
        <v>1174</v>
      </c>
      <c r="D9" s="14"/>
      <c r="E9" s="10"/>
      <c r="F9" s="10"/>
      <c r="G9" s="10"/>
      <c r="H9" s="10"/>
      <c r="I9" s="10" t="s">
        <v>34</v>
      </c>
      <c r="J9" s="10"/>
      <c r="K9" s="10">
        <v>330046140</v>
      </c>
      <c r="L9" s="9"/>
      <c r="M9" s="10" t="s">
        <v>1175</v>
      </c>
      <c r="N9" s="11"/>
      <c r="O9" s="10"/>
      <c r="P9" s="10"/>
      <c r="Q9" s="7"/>
    </row>
    <row r="10" spans="3:17">
      <c r="C10" s="8" t="s">
        <v>1176</v>
      </c>
      <c r="D10" s="14"/>
      <c r="E10" s="10" t="s">
        <v>1177</v>
      </c>
      <c r="F10" s="10"/>
      <c r="G10" s="10"/>
      <c r="H10" s="10"/>
      <c r="I10" s="10" t="s">
        <v>34</v>
      </c>
      <c r="J10" s="10"/>
      <c r="K10" s="10">
        <v>942822302</v>
      </c>
      <c r="L10" s="9"/>
      <c r="M10" s="10" t="s">
        <v>1178</v>
      </c>
      <c r="N10" s="11"/>
      <c r="O10" s="10"/>
      <c r="P10" s="10"/>
      <c r="Q10" s="7"/>
    </row>
    <row r="11" spans="3:17">
      <c r="C11" s="8" t="s">
        <v>1179</v>
      </c>
      <c r="D11" s="14"/>
      <c r="E11" s="10"/>
      <c r="F11" s="10"/>
      <c r="G11" s="10"/>
      <c r="H11" s="10"/>
      <c r="I11" s="10" t="s">
        <v>34</v>
      </c>
      <c r="J11" s="10"/>
      <c r="K11" s="10">
        <v>262992045</v>
      </c>
      <c r="L11" s="9"/>
      <c r="M11" s="10" t="s">
        <v>1180</v>
      </c>
      <c r="N11" s="11"/>
      <c r="O11" s="10"/>
      <c r="P11" s="10"/>
      <c r="Q11" s="7"/>
    </row>
    <row r="12" spans="3:17">
      <c r="C12" s="5" t="s">
        <v>1181</v>
      </c>
      <c r="D12" s="13"/>
      <c r="E12" s="12" t="s">
        <v>1182</v>
      </c>
      <c r="F12" s="12" t="s">
        <v>1183</v>
      </c>
      <c r="G12" s="12" t="s">
        <v>1184</v>
      </c>
      <c r="H12" s="12"/>
      <c r="I12" s="12" t="s">
        <v>219</v>
      </c>
      <c r="J12" s="12"/>
      <c r="K12" s="12"/>
      <c r="L12" s="12"/>
      <c r="M12" s="12" t="s">
        <v>1185</v>
      </c>
      <c r="N12" t="s">
        <v>44</v>
      </c>
      <c r="O12" s="12" t="s">
        <v>45</v>
      </c>
      <c r="P12" s="12"/>
      <c r="Q12" s="6"/>
    </row>
    <row r="13" spans="3:17">
      <c r="C13" s="8" t="s">
        <v>1186</v>
      </c>
      <c r="D13" s="14"/>
      <c r="E13" s="10"/>
      <c r="F13" s="10"/>
      <c r="G13" s="10"/>
      <c r="H13" s="10"/>
      <c r="I13" s="10" t="s">
        <v>143</v>
      </c>
      <c r="J13" s="10"/>
      <c r="K13" s="10">
        <v>472057123</v>
      </c>
      <c r="L13" s="9"/>
      <c r="M13" s="10" t="s">
        <v>1187</v>
      </c>
      <c r="N13" s="11"/>
      <c r="O13" s="10"/>
      <c r="P13" s="10"/>
      <c r="Q13" s="7"/>
    </row>
    <row r="14" spans="3:17">
      <c r="C14" s="8" t="s">
        <v>1188</v>
      </c>
      <c r="D14" s="14"/>
      <c r="E14" s="10" t="s">
        <v>1189</v>
      </c>
      <c r="F14" s="10" t="s">
        <v>1190</v>
      </c>
      <c r="G14" s="10" t="s">
        <v>1191</v>
      </c>
      <c r="H14" s="10"/>
      <c r="I14" s="10" t="s">
        <v>68</v>
      </c>
      <c r="J14" s="10"/>
      <c r="K14" s="10"/>
      <c r="L14" s="10"/>
      <c r="M14" s="10" t="s">
        <v>1192</v>
      </c>
      <c r="N14" s="10" t="s">
        <v>36</v>
      </c>
      <c r="O14" s="10" t="s">
        <v>1193</v>
      </c>
      <c r="P14" s="10"/>
      <c r="Q14" s="7"/>
    </row>
    <row r="15" spans="3:17">
      <c r="C15" s="8" t="s">
        <v>1194</v>
      </c>
      <c r="D15" s="14"/>
      <c r="E15" s="10" t="s">
        <v>1195</v>
      </c>
      <c r="F15" s="10" t="s">
        <v>1196</v>
      </c>
      <c r="G15" s="10" t="s">
        <v>51</v>
      </c>
      <c r="H15" s="10"/>
      <c r="I15" s="10" t="s">
        <v>522</v>
      </c>
      <c r="J15" s="10"/>
      <c r="K15" s="10"/>
      <c r="L15" s="10"/>
      <c r="M15" s="10" t="s">
        <v>1197</v>
      </c>
      <c r="N15" s="10" t="s">
        <v>36</v>
      </c>
      <c r="O15" s="10" t="s">
        <v>166</v>
      </c>
      <c r="P15" s="10"/>
      <c r="Q15" s="7"/>
    </row>
    <row r="16" spans="3:17">
      <c r="C16" s="8" t="s">
        <v>1198</v>
      </c>
      <c r="D16" s="14"/>
      <c r="E16" s="10" t="s">
        <v>1199</v>
      </c>
      <c r="F16" s="10"/>
      <c r="G16" s="10"/>
      <c r="H16" s="10"/>
      <c r="I16" s="10" t="s">
        <v>34</v>
      </c>
      <c r="J16" s="10"/>
      <c r="K16" s="10">
        <v>203216993</v>
      </c>
      <c r="L16" s="9"/>
      <c r="M16" s="10" t="s">
        <v>1200</v>
      </c>
      <c r="N16" s="11"/>
      <c r="O16" s="10"/>
      <c r="P16" s="10"/>
      <c r="Q16" s="7"/>
    </row>
    <row r="17" spans="3:17">
      <c r="C17" s="5" t="s">
        <v>1201</v>
      </c>
      <c r="D17" s="13"/>
      <c r="E17" s="12" t="s">
        <v>1202</v>
      </c>
      <c r="F17" s="12" t="s">
        <v>1148</v>
      </c>
      <c r="G17" s="12" t="s">
        <v>98</v>
      </c>
      <c r="H17" s="12"/>
      <c r="I17" s="12" t="s">
        <v>309</v>
      </c>
      <c r="J17" s="12"/>
      <c r="K17" s="12"/>
      <c r="L17" s="12"/>
      <c r="M17" s="12" t="s">
        <v>1203</v>
      </c>
      <c r="N17" t="s">
        <v>44</v>
      </c>
      <c r="O17" s="12" t="s">
        <v>45</v>
      </c>
      <c r="P17" s="12"/>
      <c r="Q17" s="6"/>
    </row>
    <row r="18" spans="3:17">
      <c r="C18" s="8" t="s">
        <v>1204</v>
      </c>
      <c r="D18" s="14"/>
      <c r="E18" s="10" t="s">
        <v>1205</v>
      </c>
      <c r="F18" s="10" t="s">
        <v>1206</v>
      </c>
      <c r="G18" s="10" t="s">
        <v>51</v>
      </c>
      <c r="H18" s="10"/>
      <c r="I18" s="10" t="s">
        <v>309</v>
      </c>
      <c r="J18" s="10"/>
      <c r="K18" s="10"/>
      <c r="L18" s="10"/>
      <c r="M18" s="10" t="s">
        <v>1207</v>
      </c>
      <c r="N18" s="10" t="s">
        <v>36</v>
      </c>
      <c r="O18" s="10" t="s">
        <v>166</v>
      </c>
      <c r="P18" s="10"/>
      <c r="Q18" s="7"/>
    </row>
    <row r="19" spans="3:17">
      <c r="C19" s="8" t="s">
        <v>1208</v>
      </c>
      <c r="D19" s="14"/>
      <c r="E19" s="10"/>
      <c r="F19" s="10"/>
      <c r="G19" s="10"/>
      <c r="H19" s="10"/>
      <c r="I19" s="10" t="s">
        <v>34</v>
      </c>
      <c r="J19" s="10"/>
      <c r="K19" s="10">
        <v>953607882</v>
      </c>
      <c r="L19" s="9"/>
      <c r="M19" s="10"/>
      <c r="N19" s="11"/>
      <c r="O19" s="10"/>
      <c r="P19" s="10"/>
      <c r="Q19" s="7"/>
    </row>
    <row r="20" spans="3:17">
      <c r="C20" s="8" t="s">
        <v>1209</v>
      </c>
      <c r="D20" s="14"/>
      <c r="E20" s="10" t="s">
        <v>1210</v>
      </c>
      <c r="F20" s="10" t="s">
        <v>1211</v>
      </c>
      <c r="G20" s="10" t="s">
        <v>274</v>
      </c>
      <c r="H20" s="10"/>
      <c r="I20" s="10" t="s">
        <v>1212</v>
      </c>
      <c r="J20" s="10"/>
      <c r="K20" s="10"/>
      <c r="L20" s="10"/>
      <c r="M20" s="10" t="s">
        <v>1213</v>
      </c>
      <c r="N20" s="10" t="s">
        <v>36</v>
      </c>
      <c r="O20" s="10" t="s">
        <v>381</v>
      </c>
      <c r="P20" s="10"/>
      <c r="Q20" s="7"/>
    </row>
    <row r="21" spans="3:17">
      <c r="C21" s="8" t="s">
        <v>1214</v>
      </c>
      <c r="D21" s="14"/>
      <c r="E21" s="10" t="s">
        <v>556</v>
      </c>
      <c r="F21" s="10" t="s">
        <v>1215</v>
      </c>
      <c r="G21" s="10" t="s">
        <v>1216</v>
      </c>
      <c r="H21" s="10"/>
      <c r="I21" s="10" t="s">
        <v>534</v>
      </c>
      <c r="J21" s="10"/>
      <c r="K21" s="10"/>
      <c r="L21" s="10" t="s">
        <v>1217</v>
      </c>
      <c r="M21" s="10" t="s">
        <v>1218</v>
      </c>
      <c r="N21" s="10" t="s">
        <v>27</v>
      </c>
      <c r="Q21" s="3"/>
    </row>
    <row r="22" spans="3:17">
      <c r="C22" s="8" t="s">
        <v>1219</v>
      </c>
      <c r="D22" s="14"/>
      <c r="E22" s="10" t="s">
        <v>1220</v>
      </c>
      <c r="F22" s="10" t="s">
        <v>1221</v>
      </c>
      <c r="G22" s="10" t="s">
        <v>1222</v>
      </c>
      <c r="H22" s="10"/>
      <c r="I22" s="10" t="s">
        <v>691</v>
      </c>
      <c r="J22" s="10"/>
      <c r="K22" s="10"/>
      <c r="L22" s="10"/>
      <c r="M22" s="10" t="s">
        <v>1223</v>
      </c>
      <c r="N22" s="10" t="s">
        <v>36</v>
      </c>
      <c r="O22" s="10" t="s">
        <v>183</v>
      </c>
      <c r="P22" s="10"/>
      <c r="Q22" s="7"/>
    </row>
    <row r="23" spans="3:17">
      <c r="C23" s="8" t="s">
        <v>1224</v>
      </c>
      <c r="D23" s="14"/>
      <c r="E23" s="10" t="s">
        <v>1225</v>
      </c>
      <c r="F23" s="10" t="s">
        <v>1226</v>
      </c>
      <c r="G23" s="10" t="s">
        <v>1227</v>
      </c>
      <c r="H23" s="10"/>
      <c r="I23" s="10" t="s">
        <v>566</v>
      </c>
      <c r="J23" s="10"/>
      <c r="K23" s="10"/>
      <c r="L23" s="10" t="s">
        <v>1228</v>
      </c>
      <c r="M23" s="10" t="s">
        <v>1229</v>
      </c>
      <c r="N23" s="10" t="s">
        <v>27</v>
      </c>
      <c r="O23" s="11"/>
      <c r="P23" s="11"/>
      <c r="Q23" s="4"/>
    </row>
    <row r="24" spans="3:17">
      <c r="C24" s="8" t="s">
        <v>1230</v>
      </c>
      <c r="D24" s="14"/>
      <c r="E24" s="10"/>
      <c r="F24" s="10"/>
      <c r="G24" s="10"/>
      <c r="H24" s="10"/>
      <c r="I24" s="10" t="s">
        <v>34</v>
      </c>
      <c r="J24" s="10"/>
      <c r="K24" s="10">
        <v>943301999</v>
      </c>
      <c r="L24" s="9"/>
      <c r="M24" s="10"/>
      <c r="N24" s="11"/>
      <c r="O24" s="10"/>
      <c r="P24" s="10"/>
      <c r="Q24" s="7"/>
    </row>
    <row r="25" spans="3:17">
      <c r="C25" s="10" t="s">
        <v>1231</v>
      </c>
      <c r="D25" s="14"/>
      <c r="E25" s="10" t="s">
        <v>1232</v>
      </c>
      <c r="F25" s="10"/>
      <c r="G25" s="10"/>
      <c r="H25" s="10"/>
      <c r="I25" s="10" t="s">
        <v>34</v>
      </c>
      <c r="J25" s="10"/>
      <c r="K25" s="10">
        <v>946051048</v>
      </c>
      <c r="L25" s="9"/>
      <c r="M25" s="10" t="s">
        <v>1233</v>
      </c>
      <c r="N25" s="11"/>
      <c r="O25" s="10"/>
      <c r="P25" s="10"/>
      <c r="Q25" s="7"/>
    </row>
    <row r="26" spans="3:17">
      <c r="C26" t="s">
        <v>1234</v>
      </c>
      <c r="D26" s="1"/>
      <c r="E26" t="s">
        <v>1235</v>
      </c>
      <c r="F26" t="s">
        <v>1236</v>
      </c>
      <c r="G26" t="s">
        <v>1237</v>
      </c>
      <c r="I26" t="s">
        <v>249</v>
      </c>
      <c r="M26" t="s">
        <v>1238</v>
      </c>
      <c r="N26" t="s">
        <v>44</v>
      </c>
      <c r="O26" t="s">
        <v>45</v>
      </c>
      <c r="Q26" s="3"/>
    </row>
    <row r="27" spans="3:17" ht="16.5">
      <c r="C27" s="15" t="s">
        <v>829</v>
      </c>
      <c r="D27" s="14"/>
      <c r="E27" s="10"/>
      <c r="F27" s="10" t="s">
        <v>832</v>
      </c>
      <c r="G27" s="10" t="s">
        <v>833</v>
      </c>
      <c r="H27" s="10"/>
      <c r="I27" s="15" t="s">
        <v>34</v>
      </c>
      <c r="J27" s="15" t="s">
        <v>76</v>
      </c>
      <c r="K27" s="15">
        <v>421444870</v>
      </c>
      <c r="L27" s="9"/>
      <c r="M27" s="10"/>
      <c r="N27" s="11"/>
      <c r="O27" s="10"/>
      <c r="P27" s="10"/>
      <c r="Q27" s="7"/>
    </row>
    <row r="28" spans="3:17">
      <c r="C28" s="10" t="s">
        <v>1239</v>
      </c>
      <c r="D28" s="14"/>
      <c r="E28" s="10" t="s">
        <v>1240</v>
      </c>
      <c r="F28" s="10" t="s">
        <v>1241</v>
      </c>
      <c r="G28" s="10" t="s">
        <v>51</v>
      </c>
      <c r="H28" s="10"/>
      <c r="I28" s="10" t="s">
        <v>541</v>
      </c>
      <c r="J28" s="10"/>
      <c r="K28" s="10"/>
      <c r="L28" s="10"/>
      <c r="M28" s="10" t="s">
        <v>1242</v>
      </c>
      <c r="N28" s="10" t="s">
        <v>36</v>
      </c>
      <c r="O28" s="10" t="s">
        <v>193</v>
      </c>
      <c r="P28" s="10"/>
      <c r="Q28" s="7"/>
    </row>
    <row r="29" spans="3:17">
      <c r="C29" s="10" t="s">
        <v>1243</v>
      </c>
      <c r="D29" s="14"/>
      <c r="E29" s="10"/>
      <c r="F29" s="10"/>
      <c r="G29" s="10"/>
      <c r="H29" s="10"/>
      <c r="I29" s="10" t="s">
        <v>34</v>
      </c>
      <c r="J29" s="10"/>
      <c r="K29" s="10">
        <v>943376857</v>
      </c>
      <c r="L29" s="9"/>
      <c r="M29" s="10"/>
      <c r="N29" s="11"/>
      <c r="O29" s="10"/>
      <c r="P29" s="10"/>
      <c r="Q29" s="7"/>
    </row>
    <row r="30" spans="3:17">
      <c r="C30" s="10" t="s">
        <v>1244</v>
      </c>
      <c r="D30" s="14"/>
      <c r="E30" s="10" t="s">
        <v>1245</v>
      </c>
      <c r="F30" s="10" t="s">
        <v>1246</v>
      </c>
      <c r="G30" s="10" t="s">
        <v>51</v>
      </c>
      <c r="H30" s="10"/>
      <c r="I30" s="10" t="s">
        <v>276</v>
      </c>
      <c r="J30" s="10"/>
      <c r="K30" s="10"/>
      <c r="L30" s="10"/>
      <c r="M30" s="10" t="s">
        <v>1247</v>
      </c>
      <c r="N30" s="10" t="s">
        <v>36</v>
      </c>
      <c r="O30" s="10" t="s">
        <v>1248</v>
      </c>
      <c r="P30" s="10"/>
      <c r="Q30" s="7"/>
    </row>
    <row r="31" spans="3:17">
      <c r="C31" s="10" t="s">
        <v>1249</v>
      </c>
      <c r="D31" s="14"/>
      <c r="E31" s="10"/>
      <c r="F31" s="10"/>
      <c r="G31" s="10"/>
      <c r="H31" s="10"/>
      <c r="I31" s="10" t="s">
        <v>34</v>
      </c>
      <c r="J31" s="10"/>
      <c r="K31" s="10">
        <v>943215541</v>
      </c>
      <c r="L31" s="9"/>
      <c r="M31" s="10" t="s">
        <v>1250</v>
      </c>
      <c r="N31" s="11"/>
      <c r="O31" s="10"/>
      <c r="P31" s="10"/>
      <c r="Q31" s="7"/>
    </row>
    <row r="32" spans="3:17">
      <c r="C32" s="10" t="s">
        <v>1251</v>
      </c>
      <c r="D32" s="14"/>
      <c r="E32" s="10" t="s">
        <v>1252</v>
      </c>
      <c r="F32" s="10" t="s">
        <v>1171</v>
      </c>
      <c r="G32" s="10" t="s">
        <v>260</v>
      </c>
      <c r="H32" s="10"/>
      <c r="I32" s="10" t="s">
        <v>548</v>
      </c>
      <c r="J32" s="10"/>
      <c r="K32" s="10"/>
      <c r="L32" s="10" t="s">
        <v>1253</v>
      </c>
      <c r="M32" s="10" t="s">
        <v>1254</v>
      </c>
      <c r="N32" s="10" t="s">
        <v>27</v>
      </c>
      <c r="O32" s="10"/>
      <c r="P32" s="10"/>
      <c r="Q32" s="7"/>
    </row>
    <row r="33" spans="3:17">
      <c r="C33" t="s">
        <v>1255</v>
      </c>
      <c r="D33" s="1">
        <v>46027</v>
      </c>
      <c r="E33" t="s">
        <v>1148</v>
      </c>
      <c r="F33" t="s">
        <v>1148</v>
      </c>
      <c r="G33" t="s">
        <v>98</v>
      </c>
      <c r="I33" t="s">
        <v>1256</v>
      </c>
      <c r="M33" t="s">
        <v>1257</v>
      </c>
      <c r="N33" t="s">
        <v>44</v>
      </c>
      <c r="O33" t="s">
        <v>45</v>
      </c>
      <c r="Q33" s="3"/>
    </row>
    <row r="34" spans="3:17">
      <c r="C34" s="10" t="s">
        <v>1258</v>
      </c>
      <c r="D34" s="14"/>
      <c r="E34" s="10" t="s">
        <v>1259</v>
      </c>
      <c r="F34" s="10" t="s">
        <v>1260</v>
      </c>
      <c r="G34" s="10" t="s">
        <v>274</v>
      </c>
      <c r="H34" s="10"/>
      <c r="I34" s="10" t="s">
        <v>1154</v>
      </c>
      <c r="J34" s="10"/>
      <c r="K34" s="10"/>
      <c r="L34" s="10"/>
      <c r="M34" s="10" t="s">
        <v>1261</v>
      </c>
      <c r="N34" s="10" t="s">
        <v>36</v>
      </c>
      <c r="O34" s="10" t="s">
        <v>1262</v>
      </c>
      <c r="P34" s="10"/>
      <c r="Q34" s="7"/>
    </row>
    <row r="35" spans="3:17">
      <c r="C35" s="12" t="s">
        <v>1263</v>
      </c>
      <c r="D35" s="13"/>
      <c r="E35" s="12" t="s">
        <v>1264</v>
      </c>
      <c r="F35" s="12" t="s">
        <v>1148</v>
      </c>
      <c r="G35" s="12" t="s">
        <v>98</v>
      </c>
      <c r="H35" s="12"/>
      <c r="I35" s="12" t="s">
        <v>548</v>
      </c>
      <c r="J35" s="12"/>
      <c r="K35" s="12"/>
      <c r="L35" s="12"/>
      <c r="M35" s="12" t="s">
        <v>1265</v>
      </c>
      <c r="N35" t="s">
        <v>44</v>
      </c>
      <c r="O35" s="12" t="s">
        <v>45</v>
      </c>
      <c r="P35" s="12"/>
      <c r="Q35" s="6"/>
    </row>
    <row r="36" spans="3:17">
      <c r="C36" s="10" t="s">
        <v>1266</v>
      </c>
      <c r="D36" s="14"/>
      <c r="E36" s="10" t="s">
        <v>1267</v>
      </c>
      <c r="F36" s="10" t="s">
        <v>1268</v>
      </c>
      <c r="G36" s="10" t="s">
        <v>51</v>
      </c>
      <c r="H36" s="10"/>
      <c r="I36" s="10" t="s">
        <v>52</v>
      </c>
      <c r="J36" s="10"/>
      <c r="K36" s="10"/>
      <c r="L36" s="10"/>
      <c r="M36" s="10" t="s">
        <v>1269</v>
      </c>
      <c r="N36" s="10" t="s">
        <v>36</v>
      </c>
      <c r="O36" s="10" t="s">
        <v>554</v>
      </c>
      <c r="P36" s="10"/>
      <c r="Q36" s="7"/>
    </row>
    <row r="37" spans="3:17">
      <c r="C37" s="10" t="s">
        <v>1270</v>
      </c>
      <c r="D37" s="14"/>
      <c r="E37" s="10" t="s">
        <v>1271</v>
      </c>
      <c r="F37" s="10" t="s">
        <v>1272</v>
      </c>
      <c r="G37" s="10" t="s">
        <v>142</v>
      </c>
      <c r="H37" s="10"/>
      <c r="I37" s="10" t="s">
        <v>129</v>
      </c>
      <c r="J37" s="10"/>
      <c r="K37" s="10"/>
      <c r="L37" s="10"/>
      <c r="M37" s="10" t="s">
        <v>1273</v>
      </c>
      <c r="N37" s="10" t="s">
        <v>36</v>
      </c>
      <c r="O37" s="10" t="s">
        <v>1262</v>
      </c>
      <c r="P37" s="10"/>
      <c r="Q37" s="7"/>
    </row>
    <row r="38" spans="3:17">
      <c r="C38" s="10" t="s">
        <v>1274</v>
      </c>
      <c r="D38" s="14"/>
      <c r="E38" s="10" t="s">
        <v>1275</v>
      </c>
      <c r="F38" s="10" t="s">
        <v>1276</v>
      </c>
      <c r="G38" s="10" t="s">
        <v>142</v>
      </c>
      <c r="H38" s="10"/>
      <c r="I38" s="10" t="s">
        <v>219</v>
      </c>
      <c r="J38" s="10"/>
      <c r="K38" s="10"/>
      <c r="L38" s="10"/>
      <c r="M38" s="10" t="s">
        <v>1277</v>
      </c>
      <c r="N38" s="10" t="s">
        <v>36</v>
      </c>
      <c r="O38" s="10" t="s">
        <v>1278</v>
      </c>
      <c r="P38" s="10"/>
      <c r="Q38" s="7"/>
    </row>
    <row r="39" spans="3:17">
      <c r="C39" t="s">
        <v>1279</v>
      </c>
      <c r="D39" s="1"/>
      <c r="E39" t="s">
        <v>1280</v>
      </c>
      <c r="F39" t="s">
        <v>1148</v>
      </c>
      <c r="G39" t="s">
        <v>98</v>
      </c>
      <c r="I39" t="s">
        <v>1281</v>
      </c>
      <c r="M39" t="s">
        <v>1282</v>
      </c>
      <c r="N39" t="s">
        <v>44</v>
      </c>
      <c r="O39" t="s">
        <v>45</v>
      </c>
      <c r="Q39" s="3"/>
    </row>
    <row r="40" spans="3:17">
      <c r="C40" s="10" t="s">
        <v>1283</v>
      </c>
      <c r="D40" s="14"/>
      <c r="E40" s="10" t="s">
        <v>1284</v>
      </c>
      <c r="F40" s="10" t="s">
        <v>1285</v>
      </c>
      <c r="G40" s="10" t="s">
        <v>1286</v>
      </c>
      <c r="H40" s="10"/>
      <c r="I40" s="10" t="s">
        <v>164</v>
      </c>
      <c r="J40" s="10"/>
      <c r="K40" s="10"/>
      <c r="L40" s="10" t="s">
        <v>1287</v>
      </c>
      <c r="M40" s="10"/>
      <c r="N40" s="10" t="s">
        <v>27</v>
      </c>
      <c r="Q40" s="3"/>
    </row>
    <row r="41" spans="3:17" ht="16.5">
      <c r="C41" s="15" t="s">
        <v>1288</v>
      </c>
      <c r="D41" s="14"/>
      <c r="E41" s="10"/>
      <c r="F41" s="10"/>
      <c r="G41" s="10"/>
      <c r="H41" s="10"/>
      <c r="I41" s="15" t="s">
        <v>34</v>
      </c>
      <c r="J41" s="15"/>
      <c r="K41" s="15">
        <v>330779894</v>
      </c>
      <c r="L41" s="9"/>
      <c r="M41" s="10"/>
      <c r="N41" s="11"/>
      <c r="O41" s="10"/>
      <c r="P41" s="10"/>
      <c r="Q41" s="7"/>
    </row>
    <row r="42" spans="3:17">
      <c r="C42" s="10" t="s">
        <v>1289</v>
      </c>
      <c r="D42" s="14"/>
      <c r="E42" s="10"/>
      <c r="F42" s="10"/>
      <c r="G42" s="10"/>
      <c r="H42" s="10"/>
      <c r="I42" s="10" t="s">
        <v>34</v>
      </c>
      <c r="J42" s="10"/>
      <c r="K42" s="10">
        <v>300527867</v>
      </c>
      <c r="L42" s="9"/>
      <c r="M42" s="10"/>
      <c r="N42" s="11"/>
      <c r="O42" s="10"/>
      <c r="P42" s="10"/>
      <c r="Q42" s="7"/>
    </row>
    <row r="43" spans="3:17" ht="16.5">
      <c r="C43" s="15" t="s">
        <v>1290</v>
      </c>
      <c r="D43" s="14"/>
      <c r="E43" s="10" t="s">
        <v>1291</v>
      </c>
      <c r="F43" s="10"/>
      <c r="G43" s="10"/>
      <c r="H43" s="10"/>
      <c r="I43" s="15" t="s">
        <v>336</v>
      </c>
      <c r="J43" s="15"/>
      <c r="K43" s="15">
        <v>30373895</v>
      </c>
      <c r="L43" s="9"/>
      <c r="M43" s="10" t="s">
        <v>1292</v>
      </c>
      <c r="N43" s="11"/>
      <c r="O43" s="10"/>
      <c r="P43" s="10"/>
      <c r="Q43" s="7"/>
    </row>
    <row r="44" spans="3:17">
      <c r="C44" s="10" t="s">
        <v>1293</v>
      </c>
      <c r="D44" s="14"/>
      <c r="E44" s="10" t="s">
        <v>1294</v>
      </c>
      <c r="F44" s="10" t="s">
        <v>1295</v>
      </c>
      <c r="G44" s="10" t="s">
        <v>1296</v>
      </c>
      <c r="H44" s="10"/>
      <c r="I44" s="10" t="s">
        <v>548</v>
      </c>
      <c r="J44" s="10"/>
      <c r="K44" s="10"/>
      <c r="L44" s="10" t="s">
        <v>1297</v>
      </c>
      <c r="M44" s="10" t="s">
        <v>1298</v>
      </c>
      <c r="N44" s="10" t="s">
        <v>27</v>
      </c>
      <c r="O44" s="10"/>
      <c r="P44" s="10"/>
      <c r="Q44" s="7"/>
    </row>
    <row r="45" spans="3:17" ht="16.5">
      <c r="C45" s="15" t="s">
        <v>836</v>
      </c>
      <c r="D45" s="14"/>
      <c r="E45" s="10" t="s">
        <v>1299</v>
      </c>
      <c r="F45" s="10" t="s">
        <v>839</v>
      </c>
      <c r="G45" s="10" t="s">
        <v>840</v>
      </c>
      <c r="H45" s="10" t="s">
        <v>841</v>
      </c>
      <c r="I45" s="15" t="s">
        <v>34</v>
      </c>
      <c r="J45" s="15" t="s">
        <v>76</v>
      </c>
      <c r="K45" s="15">
        <v>956093178</v>
      </c>
      <c r="L45" s="9"/>
      <c r="M45" s="10" t="s">
        <v>1300</v>
      </c>
      <c r="N45" s="11"/>
      <c r="O45" s="10"/>
      <c r="P45" s="10"/>
      <c r="Q45" s="7"/>
    </row>
    <row r="46" spans="3:17">
      <c r="C46" s="10" t="s">
        <v>1301</v>
      </c>
      <c r="D46" s="14"/>
      <c r="E46" s="10" t="s">
        <v>1302</v>
      </c>
      <c r="F46" s="10" t="s">
        <v>1303</v>
      </c>
      <c r="G46" s="10" t="s">
        <v>51</v>
      </c>
      <c r="H46" s="10"/>
      <c r="I46" s="10" t="s">
        <v>1154</v>
      </c>
      <c r="J46" s="10"/>
      <c r="K46" s="10"/>
      <c r="L46" s="10"/>
      <c r="M46" s="10" t="s">
        <v>1304</v>
      </c>
      <c r="N46" s="10" t="s">
        <v>36</v>
      </c>
      <c r="O46" s="10" t="s">
        <v>183</v>
      </c>
      <c r="P46" s="10"/>
      <c r="Q46" s="7"/>
    </row>
    <row r="47" spans="3:17">
      <c r="C47" s="10" t="s">
        <v>1305</v>
      </c>
      <c r="D47" s="14"/>
      <c r="E47" s="10"/>
      <c r="F47" s="10"/>
      <c r="G47" s="10"/>
      <c r="H47" s="10"/>
      <c r="I47" s="10" t="s">
        <v>34</v>
      </c>
      <c r="J47" s="10"/>
      <c r="K47" s="10">
        <v>954682181</v>
      </c>
      <c r="L47" s="9"/>
      <c r="M47" s="10" t="s">
        <v>1306</v>
      </c>
      <c r="N47" s="11"/>
      <c r="O47" s="10"/>
      <c r="P47" s="10"/>
      <c r="Q47" s="7"/>
    </row>
    <row r="48" spans="3:17">
      <c r="C48" s="10" t="s">
        <v>1307</v>
      </c>
      <c r="D48" s="14"/>
      <c r="E48" s="10" t="s">
        <v>1308</v>
      </c>
      <c r="F48" s="10"/>
      <c r="G48" s="10"/>
      <c r="H48" s="10"/>
      <c r="I48" s="10" t="s">
        <v>34</v>
      </c>
      <c r="J48" s="10"/>
      <c r="K48" s="10">
        <v>941624987</v>
      </c>
      <c r="L48" s="9"/>
      <c r="M48" s="10" t="s">
        <v>1309</v>
      </c>
      <c r="N48" s="11"/>
      <c r="O48" s="10"/>
      <c r="P48" s="10"/>
      <c r="Q48" s="7"/>
    </row>
    <row r="49" spans="3:17" ht="16.5">
      <c r="C49" s="17" t="s">
        <v>1034</v>
      </c>
      <c r="D49" s="14"/>
      <c r="E49" s="10"/>
      <c r="F49" s="10" t="s">
        <v>1156</v>
      </c>
      <c r="G49" s="10"/>
      <c r="H49" s="10"/>
      <c r="I49" s="15" t="s">
        <v>336</v>
      </c>
      <c r="J49" s="15"/>
      <c r="K49" s="15">
        <v>936289087</v>
      </c>
      <c r="L49" s="9"/>
      <c r="M49" s="10" t="s">
        <v>1310</v>
      </c>
      <c r="N49" s="11"/>
      <c r="O49" s="10"/>
      <c r="P49" s="10"/>
      <c r="Q49" s="7"/>
    </row>
    <row r="50" spans="3:17" ht="16.5">
      <c r="C50" s="17" t="s">
        <v>844</v>
      </c>
      <c r="D50" s="14"/>
      <c r="E50" s="10" t="s">
        <v>849</v>
      </c>
      <c r="F50" s="10" t="s">
        <v>847</v>
      </c>
      <c r="G50" s="10" t="s">
        <v>142</v>
      </c>
      <c r="H50" s="10" t="s">
        <v>848</v>
      </c>
      <c r="I50" s="15" t="s">
        <v>34</v>
      </c>
      <c r="J50" s="15" t="s">
        <v>42</v>
      </c>
      <c r="K50" s="15">
        <v>943167546</v>
      </c>
      <c r="L50" s="9"/>
      <c r="M50" s="10" t="s">
        <v>1233</v>
      </c>
      <c r="N50" s="11"/>
      <c r="O50" s="10"/>
      <c r="P50" s="10"/>
      <c r="Q50" s="7"/>
    </row>
    <row r="51" spans="3:17" ht="16.5">
      <c r="C51" s="17" t="s">
        <v>851</v>
      </c>
      <c r="D51" s="14"/>
      <c r="E51" s="10"/>
      <c r="F51" s="10" t="s">
        <v>334</v>
      </c>
      <c r="G51" s="10" t="s">
        <v>51</v>
      </c>
      <c r="H51" s="18" t="s">
        <v>335</v>
      </c>
      <c r="I51" s="15" t="s">
        <v>336</v>
      </c>
      <c r="J51" s="15" t="s">
        <v>42</v>
      </c>
      <c r="K51" s="15">
        <v>931254171</v>
      </c>
      <c r="L51" s="9"/>
      <c r="M51" s="10" t="s">
        <v>1311</v>
      </c>
      <c r="N51" s="11"/>
      <c r="O51" s="10"/>
      <c r="P51" s="10"/>
      <c r="Q51" s="7"/>
    </row>
    <row r="52" spans="3:17">
      <c r="C52" s="8" t="s">
        <v>1312</v>
      </c>
      <c r="D52" s="14"/>
      <c r="E52" s="10" t="s">
        <v>1313</v>
      </c>
      <c r="F52" s="10" t="s">
        <v>1314</v>
      </c>
      <c r="G52" s="10" t="s">
        <v>1227</v>
      </c>
      <c r="H52" s="10"/>
      <c r="I52" s="10" t="s">
        <v>342</v>
      </c>
      <c r="J52" s="10"/>
      <c r="K52" s="10"/>
      <c r="L52" s="10" t="s">
        <v>1315</v>
      </c>
      <c r="M52" s="10" t="s">
        <v>1316</v>
      </c>
      <c r="N52" s="10" t="s">
        <v>27</v>
      </c>
      <c r="O52" s="11"/>
      <c r="P52" s="11"/>
      <c r="Q52" s="4"/>
    </row>
    <row r="53" spans="3:17" ht="16.5">
      <c r="C53" s="17" t="s">
        <v>1087</v>
      </c>
      <c r="D53" s="14"/>
      <c r="E53" s="10" t="s">
        <v>346</v>
      </c>
      <c r="F53" s="10" t="s">
        <v>347</v>
      </c>
      <c r="G53" s="10" t="s">
        <v>142</v>
      </c>
      <c r="H53" s="10"/>
      <c r="I53" s="15" t="s">
        <v>143</v>
      </c>
      <c r="J53" s="15"/>
      <c r="K53" s="15">
        <v>910745225</v>
      </c>
      <c r="L53" s="9"/>
      <c r="M53" s="10" t="s">
        <v>1317</v>
      </c>
      <c r="N53" s="11"/>
      <c r="O53" s="10"/>
      <c r="P53" s="10"/>
      <c r="Q53" s="7"/>
    </row>
    <row r="54" spans="3:17">
      <c r="C54" s="5" t="s">
        <v>1318</v>
      </c>
      <c r="D54" s="13"/>
      <c r="E54" s="12" t="s">
        <v>1319</v>
      </c>
      <c r="F54" s="12" t="s">
        <v>1148</v>
      </c>
      <c r="G54" s="12" t="s">
        <v>98</v>
      </c>
      <c r="H54" s="12"/>
      <c r="I54" s="12" t="s">
        <v>1320</v>
      </c>
      <c r="J54" s="12"/>
      <c r="K54" s="12"/>
      <c r="L54" s="12"/>
      <c r="M54" s="12" t="s">
        <v>1321</v>
      </c>
      <c r="N54" t="s">
        <v>44</v>
      </c>
      <c r="O54" s="12" t="s">
        <v>45</v>
      </c>
      <c r="P54" s="12"/>
      <c r="Q54" s="6"/>
    </row>
    <row r="55" spans="3:17">
      <c r="C55" s="8" t="s">
        <v>1322</v>
      </c>
      <c r="D55" s="14"/>
      <c r="E55" s="10" t="s">
        <v>1323</v>
      </c>
      <c r="F55" s="10" t="s">
        <v>1324</v>
      </c>
      <c r="G55" s="10" t="s">
        <v>51</v>
      </c>
      <c r="H55" s="10"/>
      <c r="I55" s="10" t="s">
        <v>68</v>
      </c>
      <c r="J55" s="10"/>
      <c r="K55" s="10"/>
      <c r="L55" s="10"/>
      <c r="M55" s="10" t="s">
        <v>1325</v>
      </c>
      <c r="N55" s="10" t="s">
        <v>36</v>
      </c>
      <c r="O55" s="10" t="s">
        <v>245</v>
      </c>
      <c r="P55" s="10"/>
      <c r="Q55" s="7"/>
    </row>
    <row r="56" spans="3:17">
      <c r="C56" s="8" t="s">
        <v>1326</v>
      </c>
      <c r="D56" s="14"/>
      <c r="E56" s="10"/>
      <c r="F56" s="10"/>
      <c r="G56" s="10"/>
      <c r="H56" s="10"/>
      <c r="I56" s="10" t="s">
        <v>34</v>
      </c>
      <c r="J56" s="10"/>
      <c r="K56" s="10">
        <v>943330604</v>
      </c>
      <c r="L56" s="9"/>
      <c r="M56" s="10" t="s">
        <v>1327</v>
      </c>
      <c r="N56" s="11"/>
      <c r="O56" s="10"/>
      <c r="P56" s="10"/>
      <c r="Q56" s="7"/>
    </row>
    <row r="57" spans="3:17">
      <c r="C57" s="8" t="s">
        <v>1328</v>
      </c>
      <c r="D57" s="14"/>
      <c r="E57" s="10"/>
      <c r="F57" s="10"/>
      <c r="G57" s="10"/>
      <c r="H57" s="10"/>
      <c r="I57" s="10" t="s">
        <v>34</v>
      </c>
      <c r="J57" s="10"/>
      <c r="K57" s="10">
        <v>330686779</v>
      </c>
      <c r="L57" s="9"/>
      <c r="M57" s="10" t="s">
        <v>1300</v>
      </c>
      <c r="N57" s="11"/>
      <c r="O57" s="10"/>
      <c r="P57" s="10"/>
      <c r="Q57" s="7"/>
    </row>
    <row r="58" spans="3:17">
      <c r="C58" s="8" t="s">
        <v>1329</v>
      </c>
      <c r="D58" s="14"/>
      <c r="E58" s="10" t="s">
        <v>1330</v>
      </c>
      <c r="F58" s="10" t="s">
        <v>1331</v>
      </c>
      <c r="G58" s="10" t="s">
        <v>142</v>
      </c>
      <c r="H58" s="10"/>
      <c r="I58" s="10" t="s">
        <v>262</v>
      </c>
      <c r="J58" s="10"/>
      <c r="K58" s="10"/>
      <c r="L58" s="10"/>
      <c r="M58" s="10" t="s">
        <v>1332</v>
      </c>
      <c r="N58" s="10" t="s">
        <v>36</v>
      </c>
      <c r="O58" s="10" t="s">
        <v>166</v>
      </c>
      <c r="P58" s="10"/>
      <c r="Q58" s="7"/>
    </row>
    <row r="59" spans="3:17">
      <c r="C59" s="8" t="s">
        <v>1333</v>
      </c>
      <c r="D59" s="14"/>
      <c r="E59" s="10" t="s">
        <v>1334</v>
      </c>
      <c r="F59" s="10" t="s">
        <v>1335</v>
      </c>
      <c r="G59" s="10" t="s">
        <v>142</v>
      </c>
      <c r="H59" s="10"/>
      <c r="I59" s="10" t="s">
        <v>164</v>
      </c>
      <c r="J59" s="10"/>
      <c r="K59" s="10"/>
      <c r="L59" s="10"/>
      <c r="M59" s="10" t="s">
        <v>1336</v>
      </c>
      <c r="N59" s="10" t="s">
        <v>36</v>
      </c>
      <c r="O59" s="10" t="s">
        <v>554</v>
      </c>
      <c r="P59" s="10"/>
      <c r="Q59" s="7"/>
    </row>
    <row r="60" spans="3:17">
      <c r="C60" s="8" t="s">
        <v>1337</v>
      </c>
      <c r="D60" s="14"/>
      <c r="E60" s="10" t="s">
        <v>1338</v>
      </c>
      <c r="F60" s="10" t="s">
        <v>1339</v>
      </c>
      <c r="G60" s="10" t="s">
        <v>1340</v>
      </c>
      <c r="H60" s="10"/>
      <c r="I60" s="10" t="s">
        <v>204</v>
      </c>
      <c r="J60" s="10"/>
      <c r="K60" s="10"/>
      <c r="L60" s="10" t="s">
        <v>1341</v>
      </c>
      <c r="M60" s="10" t="s">
        <v>1342</v>
      </c>
      <c r="N60" s="10" t="s">
        <v>27</v>
      </c>
      <c r="O60" s="10"/>
      <c r="P60" s="10"/>
      <c r="Q60" s="7"/>
    </row>
    <row r="61" spans="3:17">
      <c r="C61" s="8" t="s">
        <v>1343</v>
      </c>
      <c r="D61" s="14"/>
      <c r="E61" s="10" t="s">
        <v>1344</v>
      </c>
      <c r="F61" s="10" t="s">
        <v>1345</v>
      </c>
      <c r="G61" s="10" t="s">
        <v>163</v>
      </c>
      <c r="H61" s="10"/>
      <c r="I61" s="10" t="s">
        <v>68</v>
      </c>
      <c r="J61" s="10"/>
      <c r="K61" s="10"/>
      <c r="L61" s="10"/>
      <c r="M61" s="10" t="s">
        <v>1346</v>
      </c>
      <c r="N61" s="10" t="s">
        <v>36</v>
      </c>
      <c r="O61" s="10" t="s">
        <v>1347</v>
      </c>
      <c r="P61" s="10"/>
      <c r="Q61" s="7"/>
    </row>
    <row r="62" spans="3:17">
      <c r="C62" s="8" t="s">
        <v>1348</v>
      </c>
      <c r="D62" s="14"/>
      <c r="E62" s="10"/>
      <c r="F62" s="10"/>
      <c r="G62" s="10"/>
      <c r="H62" s="10"/>
      <c r="I62" s="10" t="s">
        <v>34</v>
      </c>
      <c r="J62" s="10"/>
      <c r="K62" s="10">
        <v>352559691</v>
      </c>
      <c r="L62" s="9"/>
      <c r="M62" s="10"/>
      <c r="N62" s="11"/>
      <c r="O62" s="10"/>
      <c r="P62" s="10"/>
      <c r="Q62" s="7"/>
    </row>
    <row r="63" spans="3:17">
      <c r="C63" s="8" t="s">
        <v>1349</v>
      </c>
      <c r="D63" s="14"/>
      <c r="E63" s="10" t="s">
        <v>1350</v>
      </c>
      <c r="F63" s="10" t="s">
        <v>1351</v>
      </c>
      <c r="G63" s="10" t="s">
        <v>142</v>
      </c>
      <c r="H63" s="10"/>
      <c r="I63" s="10" t="s">
        <v>1352</v>
      </c>
      <c r="J63" s="10"/>
      <c r="K63" s="10"/>
      <c r="L63" s="10"/>
      <c r="M63" s="10" t="s">
        <v>1353</v>
      </c>
      <c r="N63" s="10" t="s">
        <v>36</v>
      </c>
      <c r="O63" s="10" t="s">
        <v>554</v>
      </c>
      <c r="P63" s="10"/>
      <c r="Q63" s="7"/>
    </row>
    <row r="64" spans="3:17">
      <c r="C64" s="8" t="s">
        <v>1354</v>
      </c>
      <c r="D64" s="14"/>
      <c r="E64" s="10" t="s">
        <v>1355</v>
      </c>
      <c r="F64" s="10" t="s">
        <v>1356</v>
      </c>
      <c r="G64" s="10" t="s">
        <v>51</v>
      </c>
      <c r="H64" s="10"/>
      <c r="I64" s="10" t="s">
        <v>219</v>
      </c>
      <c r="J64" s="10"/>
      <c r="K64" s="10"/>
      <c r="L64" s="10"/>
      <c r="M64" s="10" t="s">
        <v>1357</v>
      </c>
      <c r="N64" s="10" t="s">
        <v>36</v>
      </c>
      <c r="O64" s="10" t="s">
        <v>166</v>
      </c>
      <c r="P64" s="10"/>
      <c r="Q64" s="7"/>
    </row>
    <row r="65" spans="3:17">
      <c r="C65" s="8" t="s">
        <v>1358</v>
      </c>
      <c r="D65" s="14"/>
      <c r="E65" s="10" t="s">
        <v>1359</v>
      </c>
      <c r="F65" s="10" t="s">
        <v>1360</v>
      </c>
      <c r="G65" s="10" t="s">
        <v>1361</v>
      </c>
      <c r="H65" s="10"/>
      <c r="I65" s="10" t="s">
        <v>204</v>
      </c>
      <c r="J65" s="10"/>
      <c r="K65" s="10"/>
      <c r="L65" s="10" t="s">
        <v>1362</v>
      </c>
      <c r="M65" s="10" t="s">
        <v>1363</v>
      </c>
      <c r="N65" s="10" t="s">
        <v>27</v>
      </c>
      <c r="O65" s="11"/>
      <c r="P65" s="11"/>
      <c r="Q65" s="4"/>
    </row>
    <row r="66" spans="3:17">
      <c r="C66" s="8" t="s">
        <v>1364</v>
      </c>
      <c r="D66" s="14"/>
      <c r="E66" s="10" t="s">
        <v>1365</v>
      </c>
      <c r="F66" s="10" t="s">
        <v>1366</v>
      </c>
      <c r="G66" s="10" t="s">
        <v>142</v>
      </c>
      <c r="H66" s="10"/>
      <c r="I66" s="10" t="s">
        <v>68</v>
      </c>
      <c r="J66" s="10"/>
      <c r="K66" s="10"/>
      <c r="L66" s="10"/>
      <c r="M66" s="10" t="s">
        <v>1367</v>
      </c>
      <c r="N66" s="10" t="s">
        <v>36</v>
      </c>
      <c r="O66" s="10" t="s">
        <v>1368</v>
      </c>
      <c r="P66" s="10"/>
      <c r="Q66" s="7"/>
    </row>
    <row r="67" spans="3:17">
      <c r="C67" s="5" t="s">
        <v>1369</v>
      </c>
      <c r="D67" s="13"/>
      <c r="E67" s="12" t="s">
        <v>1370</v>
      </c>
      <c r="F67" s="12" t="s">
        <v>1148</v>
      </c>
      <c r="G67" s="12" t="s">
        <v>98</v>
      </c>
      <c r="H67" s="12"/>
      <c r="I67" s="12" t="s">
        <v>1371</v>
      </c>
      <c r="J67" s="12"/>
      <c r="K67" s="12"/>
      <c r="L67" s="12"/>
      <c r="M67" s="12" t="s">
        <v>1372</v>
      </c>
      <c r="N67" t="s">
        <v>44</v>
      </c>
      <c r="O67" s="12" t="s">
        <v>45</v>
      </c>
      <c r="P67" s="12"/>
      <c r="Q67" s="6"/>
    </row>
    <row r="68" spans="3:17">
      <c r="C68" s="2" t="s">
        <v>1373</v>
      </c>
      <c r="D68" s="1"/>
      <c r="E68" t="s">
        <v>1374</v>
      </c>
      <c r="F68" t="s">
        <v>1375</v>
      </c>
      <c r="G68" t="s">
        <v>1376</v>
      </c>
      <c r="I68" t="s">
        <v>68</v>
      </c>
      <c r="M68" t="s">
        <v>1377</v>
      </c>
      <c r="N68" t="s">
        <v>44</v>
      </c>
      <c r="O68" t="s">
        <v>45</v>
      </c>
      <c r="Q68" s="3"/>
    </row>
    <row r="69" spans="3:17" ht="16.5">
      <c r="C69" s="17" t="s">
        <v>866</v>
      </c>
      <c r="D69" s="14"/>
      <c r="E69" s="10"/>
      <c r="F69" s="10" t="s">
        <v>869</v>
      </c>
      <c r="G69" s="10" t="s">
        <v>142</v>
      </c>
      <c r="H69" s="10" t="s">
        <v>870</v>
      </c>
      <c r="I69" s="15" t="s">
        <v>336</v>
      </c>
      <c r="J69" s="15" t="s">
        <v>76</v>
      </c>
      <c r="K69" s="15">
        <v>836622391</v>
      </c>
      <c r="L69" s="9"/>
      <c r="M69" s="10" t="s">
        <v>1378</v>
      </c>
      <c r="N69" s="11"/>
      <c r="O69" s="10"/>
      <c r="P69" s="10"/>
      <c r="Q69" s="7"/>
    </row>
    <row r="70" spans="3:17">
      <c r="C70" s="8" t="s">
        <v>1379</v>
      </c>
      <c r="D70" s="14"/>
      <c r="E70" s="10" t="s">
        <v>1380</v>
      </c>
      <c r="F70" s="10"/>
      <c r="G70" s="10"/>
      <c r="H70" s="10"/>
      <c r="I70" s="10" t="s">
        <v>34</v>
      </c>
      <c r="J70" s="10"/>
      <c r="K70" s="10">
        <v>320516588</v>
      </c>
      <c r="L70" s="9"/>
      <c r="M70" s="10" t="s">
        <v>1300</v>
      </c>
      <c r="N70" s="11"/>
      <c r="O70" s="10"/>
      <c r="P70" s="10"/>
      <c r="Q70" s="7"/>
    </row>
    <row r="71" spans="3:17">
      <c r="C71" s="8" t="s">
        <v>1381</v>
      </c>
      <c r="D71" s="14"/>
      <c r="E71" s="10" t="s">
        <v>1382</v>
      </c>
      <c r="F71" s="10" t="s">
        <v>1383</v>
      </c>
      <c r="G71" s="10" t="s">
        <v>51</v>
      </c>
      <c r="H71" s="10"/>
      <c r="I71" s="10" t="s">
        <v>164</v>
      </c>
      <c r="J71" s="10"/>
      <c r="K71" s="10"/>
      <c r="L71" s="10"/>
      <c r="M71" s="10" t="s">
        <v>1384</v>
      </c>
      <c r="N71" s="10" t="s">
        <v>36</v>
      </c>
      <c r="O71" s="10" t="s">
        <v>1385</v>
      </c>
      <c r="P71" s="10"/>
      <c r="Q71" s="7"/>
    </row>
    <row r="72" spans="3:17">
      <c r="C72" s="8" t="s">
        <v>1386</v>
      </c>
      <c r="D72" s="14"/>
      <c r="E72" s="10"/>
      <c r="F72" s="10"/>
      <c r="G72" s="10"/>
      <c r="H72" s="10"/>
      <c r="I72" s="10" t="s">
        <v>34</v>
      </c>
      <c r="J72" s="10"/>
      <c r="K72" s="10">
        <v>943219107</v>
      </c>
      <c r="L72" s="9"/>
      <c r="M72" s="10" t="s">
        <v>1387</v>
      </c>
      <c r="N72" s="11"/>
      <c r="O72" s="10"/>
      <c r="P72" s="10"/>
      <c r="Q72" s="7"/>
    </row>
    <row r="73" spans="3:17">
      <c r="C73" s="8" t="s">
        <v>1388</v>
      </c>
      <c r="D73" s="14"/>
      <c r="E73" s="10" t="s">
        <v>400</v>
      </c>
      <c r="F73" s="10"/>
      <c r="G73" s="10"/>
      <c r="H73" s="10"/>
      <c r="I73" s="10" t="s">
        <v>34</v>
      </c>
      <c r="J73" s="10"/>
      <c r="K73" s="10">
        <v>680050036</v>
      </c>
      <c r="L73" s="9"/>
      <c r="M73" s="10" t="s">
        <v>1389</v>
      </c>
      <c r="N73" s="11"/>
      <c r="O73" s="10"/>
      <c r="P73" s="10"/>
      <c r="Q73" s="7"/>
    </row>
    <row r="74" spans="3:17">
      <c r="C74" s="2" t="s">
        <v>1390</v>
      </c>
      <c r="D74" s="1"/>
      <c r="E74" t="s">
        <v>1391</v>
      </c>
      <c r="F74" t="s">
        <v>1148</v>
      </c>
      <c r="G74" t="s">
        <v>1392</v>
      </c>
      <c r="I74" t="s">
        <v>68</v>
      </c>
      <c r="M74" t="s">
        <v>1393</v>
      </c>
      <c r="N74" t="s">
        <v>44</v>
      </c>
      <c r="O74" t="s">
        <v>45</v>
      </c>
      <c r="Q74" s="3"/>
    </row>
    <row r="75" spans="3:17">
      <c r="C75" s="2" t="s">
        <v>1394</v>
      </c>
      <c r="D75" s="1"/>
      <c r="E75" t="s">
        <v>1395</v>
      </c>
      <c r="F75" t="s">
        <v>1148</v>
      </c>
      <c r="G75" t="s">
        <v>98</v>
      </c>
      <c r="I75" t="s">
        <v>1281</v>
      </c>
      <c r="M75" t="s">
        <v>1396</v>
      </c>
      <c r="N75" t="s">
        <v>44</v>
      </c>
      <c r="O75" t="s">
        <v>45</v>
      </c>
      <c r="Q75" s="3"/>
    </row>
    <row r="76" spans="3:17">
      <c r="C76" s="8" t="s">
        <v>1397</v>
      </c>
      <c r="D76" s="14"/>
      <c r="E76" s="10" t="s">
        <v>1398</v>
      </c>
      <c r="F76" s="10" t="s">
        <v>1399</v>
      </c>
      <c r="G76" s="10" t="s">
        <v>142</v>
      </c>
      <c r="H76" s="10"/>
      <c r="I76" s="10" t="s">
        <v>262</v>
      </c>
      <c r="J76" s="10"/>
      <c r="K76" s="10"/>
      <c r="L76" s="10"/>
      <c r="M76" s="10" t="s">
        <v>1400</v>
      </c>
      <c r="N76" s="10" t="s">
        <v>36</v>
      </c>
      <c r="O76" s="10" t="s">
        <v>381</v>
      </c>
      <c r="P76" s="10"/>
      <c r="Q76" s="7"/>
    </row>
    <row r="77" spans="3:17">
      <c r="C77" s="2" t="s">
        <v>1401</v>
      </c>
      <c r="D77" s="1"/>
      <c r="E77" t="s">
        <v>1402</v>
      </c>
      <c r="F77" t="s">
        <v>1148</v>
      </c>
      <c r="G77" t="s">
        <v>98</v>
      </c>
      <c r="I77" t="s">
        <v>1281</v>
      </c>
      <c r="M77" t="s">
        <v>1403</v>
      </c>
      <c r="N77" t="s">
        <v>44</v>
      </c>
      <c r="O77" t="s">
        <v>45</v>
      </c>
      <c r="Q77" s="3"/>
    </row>
    <row r="78" spans="3:17">
      <c r="C78" s="8" t="s">
        <v>1404</v>
      </c>
      <c r="D78" s="14"/>
      <c r="E78" s="10"/>
      <c r="F78" s="10"/>
      <c r="G78" s="10"/>
      <c r="H78" s="10"/>
      <c r="I78" s="10" t="s">
        <v>34</v>
      </c>
      <c r="J78" s="10"/>
      <c r="K78" s="10">
        <v>651202020</v>
      </c>
      <c r="L78" s="9"/>
      <c r="M78" s="10" t="s">
        <v>1405</v>
      </c>
      <c r="N78" s="11"/>
      <c r="O78" s="10"/>
      <c r="P78" s="10"/>
      <c r="Q78" s="7"/>
    </row>
    <row r="79" spans="3:17">
      <c r="C79" s="5" t="s">
        <v>1406</v>
      </c>
      <c r="D79" s="13"/>
      <c r="E79" s="12" t="s">
        <v>1407</v>
      </c>
      <c r="F79" s="12" t="s">
        <v>1148</v>
      </c>
      <c r="G79" s="12" t="s">
        <v>98</v>
      </c>
      <c r="H79" s="12"/>
      <c r="I79" s="12" t="s">
        <v>68</v>
      </c>
      <c r="J79" s="12"/>
      <c r="K79" s="12"/>
      <c r="L79" s="12"/>
      <c r="M79" s="12" t="s">
        <v>1408</v>
      </c>
      <c r="N79" t="s">
        <v>44</v>
      </c>
      <c r="O79" s="12" t="s">
        <v>45</v>
      </c>
      <c r="P79" s="12"/>
      <c r="Q79" s="6"/>
    </row>
    <row r="80" spans="3:17">
      <c r="C80" s="8" t="s">
        <v>1409</v>
      </c>
      <c r="D80" s="14"/>
      <c r="E80" s="10" t="s">
        <v>1410</v>
      </c>
      <c r="F80" s="10" t="s">
        <v>1411</v>
      </c>
      <c r="G80" s="10" t="s">
        <v>1412</v>
      </c>
      <c r="H80" s="10"/>
      <c r="I80" s="10" t="s">
        <v>219</v>
      </c>
      <c r="J80" s="10"/>
      <c r="K80" s="10"/>
      <c r="L80" s="10" t="s">
        <v>1413</v>
      </c>
      <c r="M80" s="10" t="s">
        <v>1414</v>
      </c>
      <c r="N80" s="10" t="s">
        <v>27</v>
      </c>
      <c r="Q80" s="3"/>
    </row>
    <row r="81" spans="3:17">
      <c r="C81" s="8" t="s">
        <v>1415</v>
      </c>
      <c r="D81" s="14"/>
      <c r="E81" s="10"/>
      <c r="F81" s="10"/>
      <c r="G81" s="10"/>
      <c r="H81" s="10"/>
      <c r="I81" s="10" t="s">
        <v>336</v>
      </c>
      <c r="J81" s="10"/>
      <c r="K81" s="10">
        <v>936021333</v>
      </c>
      <c r="L81" s="9"/>
      <c r="M81" s="10" t="s">
        <v>1416</v>
      </c>
      <c r="N81" s="11"/>
      <c r="O81" s="10"/>
      <c r="P81" s="10"/>
      <c r="Q81" s="7"/>
    </row>
    <row r="82" spans="3:17" ht="16.5">
      <c r="C82" s="17" t="s">
        <v>1417</v>
      </c>
      <c r="D82" s="14"/>
      <c r="E82" s="10"/>
      <c r="F82" s="10"/>
      <c r="G82" s="10"/>
      <c r="H82" s="10"/>
      <c r="I82" s="15" t="s">
        <v>143</v>
      </c>
      <c r="J82" s="15"/>
      <c r="K82" s="15">
        <v>911504193</v>
      </c>
      <c r="L82" s="9"/>
      <c r="M82" s="10" t="s">
        <v>1418</v>
      </c>
      <c r="N82" s="11"/>
      <c r="O82" s="10"/>
      <c r="P82" s="10"/>
      <c r="Q82" s="7"/>
    </row>
    <row r="83" spans="3:17">
      <c r="C83" s="8" t="s">
        <v>950</v>
      </c>
      <c r="D83" s="14"/>
      <c r="E83" s="10" t="s">
        <v>1419</v>
      </c>
      <c r="F83" s="10" t="s">
        <v>1420</v>
      </c>
      <c r="G83" s="10" t="s">
        <v>705</v>
      </c>
      <c r="H83" s="10"/>
      <c r="I83" s="10" t="s">
        <v>34</v>
      </c>
      <c r="J83" s="10"/>
      <c r="K83" s="10"/>
      <c r="L83" s="10" t="s">
        <v>1421</v>
      </c>
      <c r="M83" s="10" t="s">
        <v>1422</v>
      </c>
      <c r="N83" s="10" t="s">
        <v>27</v>
      </c>
      <c r="O83" s="10"/>
      <c r="P83" s="10"/>
      <c r="Q83" s="7"/>
    </row>
    <row r="84" spans="3:17" ht="16.5">
      <c r="C84" s="17" t="s">
        <v>872</v>
      </c>
      <c r="D84" s="14"/>
      <c r="E84" s="10" t="s">
        <v>877</v>
      </c>
      <c r="F84" s="10" t="s">
        <v>875</v>
      </c>
      <c r="G84" s="10" t="s">
        <v>142</v>
      </c>
      <c r="H84" s="16" t="s">
        <v>876</v>
      </c>
      <c r="I84" s="15" t="s">
        <v>34</v>
      </c>
      <c r="J84" s="15" t="s">
        <v>42</v>
      </c>
      <c r="K84" s="15">
        <v>330247161</v>
      </c>
      <c r="L84" s="9"/>
      <c r="M84" s="10" t="s">
        <v>1423</v>
      </c>
      <c r="N84" s="11"/>
      <c r="O84" s="10"/>
      <c r="P84" s="10"/>
      <c r="Q84" s="7"/>
    </row>
    <row r="85" spans="3:17">
      <c r="C85" s="8" t="s">
        <v>1424</v>
      </c>
      <c r="D85" s="14"/>
      <c r="E85" s="10" t="s">
        <v>1425</v>
      </c>
      <c r="F85" s="10"/>
      <c r="G85" s="10"/>
      <c r="H85" s="10"/>
      <c r="I85" s="10" t="s">
        <v>34</v>
      </c>
      <c r="J85" s="10"/>
      <c r="K85" s="10">
        <v>237030155</v>
      </c>
      <c r="L85" s="9"/>
      <c r="M85" s="10" t="s">
        <v>1426</v>
      </c>
      <c r="N85" s="11"/>
      <c r="O85" s="10"/>
      <c r="P85" s="10"/>
      <c r="Q85" s="7"/>
    </row>
    <row r="86" spans="3:17">
      <c r="C86" s="8" t="s">
        <v>1427</v>
      </c>
      <c r="D86" s="14"/>
      <c r="E86" s="10" t="s">
        <v>1428</v>
      </c>
      <c r="F86" s="10" t="s">
        <v>1170</v>
      </c>
      <c r="G86" s="10" t="s">
        <v>1429</v>
      </c>
      <c r="H86" s="10"/>
      <c r="I86" s="10" t="s">
        <v>68</v>
      </c>
      <c r="J86" s="10"/>
      <c r="K86" s="10"/>
      <c r="L86" s="10" t="s">
        <v>1430</v>
      </c>
      <c r="M86" s="10" t="s">
        <v>1431</v>
      </c>
      <c r="N86" s="10" t="s">
        <v>27</v>
      </c>
      <c r="Q86" s="3"/>
    </row>
    <row r="87" spans="3:17">
      <c r="C87" s="8" t="s">
        <v>879</v>
      </c>
      <c r="D87" s="14"/>
      <c r="E87" s="10" t="s">
        <v>1432</v>
      </c>
      <c r="F87" s="10" t="s">
        <v>882</v>
      </c>
      <c r="G87" s="10" t="s">
        <v>1433</v>
      </c>
      <c r="H87" s="10"/>
      <c r="I87" s="10" t="s">
        <v>24</v>
      </c>
      <c r="J87" s="10"/>
      <c r="K87" s="10"/>
      <c r="L87" s="10" t="s">
        <v>1434</v>
      </c>
      <c r="M87" s="10" t="s">
        <v>1435</v>
      </c>
      <c r="N87" s="10" t="s">
        <v>27</v>
      </c>
      <c r="Q87" s="3"/>
    </row>
    <row r="88" spans="3:17">
      <c r="C88" s="8" t="s">
        <v>1436</v>
      </c>
      <c r="D88" s="14"/>
      <c r="E88" s="10" t="s">
        <v>1437</v>
      </c>
      <c r="F88" s="10" t="s">
        <v>1438</v>
      </c>
      <c r="G88" s="10" t="s">
        <v>1361</v>
      </c>
      <c r="H88" s="10"/>
      <c r="I88" s="10" t="s">
        <v>522</v>
      </c>
      <c r="J88" s="10"/>
      <c r="K88" s="10"/>
      <c r="L88" s="10" t="s">
        <v>1439</v>
      </c>
      <c r="M88" s="10" t="s">
        <v>1440</v>
      </c>
      <c r="N88" s="10" t="s">
        <v>27</v>
      </c>
      <c r="Q88" s="3"/>
    </row>
    <row r="89" spans="3:17" ht="16.5">
      <c r="C89" s="17" t="s">
        <v>1111</v>
      </c>
      <c r="D89" s="14"/>
      <c r="E89" s="10"/>
      <c r="F89" s="10"/>
      <c r="G89" s="10"/>
      <c r="H89" s="10"/>
      <c r="I89" s="15" t="s">
        <v>34</v>
      </c>
      <c r="J89" s="15"/>
      <c r="K89" s="15">
        <v>330200133</v>
      </c>
      <c r="L89" s="9"/>
      <c r="M89" s="10" t="s">
        <v>1250</v>
      </c>
      <c r="N89" s="11"/>
      <c r="O89" s="10"/>
      <c r="P89" s="10"/>
      <c r="Q89" s="7"/>
    </row>
    <row r="90" spans="3:17">
      <c r="C90" s="8" t="s">
        <v>472</v>
      </c>
      <c r="D90" s="14"/>
      <c r="E90" s="10" t="s">
        <v>473</v>
      </c>
      <c r="F90" s="10" t="s">
        <v>474</v>
      </c>
      <c r="G90" s="10" t="s">
        <v>22</v>
      </c>
      <c r="H90" s="10"/>
      <c r="I90" s="10" t="s">
        <v>204</v>
      </c>
      <c r="J90" s="10"/>
      <c r="K90" s="10"/>
      <c r="L90" s="10" t="s">
        <v>1441</v>
      </c>
      <c r="M90" s="10" t="s">
        <v>1442</v>
      </c>
      <c r="N90" s="10" t="s">
        <v>27</v>
      </c>
      <c r="O90" s="11"/>
      <c r="P90" s="11"/>
      <c r="Q90" s="4"/>
    </row>
    <row r="91" spans="3:17" ht="16.5">
      <c r="C91" s="17" t="s">
        <v>1443</v>
      </c>
      <c r="D91" s="14"/>
      <c r="E91" s="10" t="s">
        <v>1444</v>
      </c>
      <c r="F91" s="10"/>
      <c r="G91" s="10"/>
      <c r="H91" s="10"/>
      <c r="I91" s="15" t="s">
        <v>34</v>
      </c>
      <c r="J91" s="15"/>
      <c r="K91" s="15">
        <v>956085895</v>
      </c>
      <c r="L91" s="9"/>
      <c r="M91" s="10" t="s">
        <v>1445</v>
      </c>
      <c r="N91" s="11"/>
      <c r="O91" s="10"/>
      <c r="P91" s="10"/>
      <c r="Q91" s="7"/>
    </row>
    <row r="92" spans="3:17">
      <c r="C92" s="8" t="s">
        <v>1446</v>
      </c>
      <c r="D92" s="14"/>
      <c r="E92" s="10"/>
      <c r="F92" s="10"/>
      <c r="G92" s="10"/>
      <c r="H92" s="10"/>
      <c r="I92" s="10" t="s">
        <v>336</v>
      </c>
      <c r="J92" s="10"/>
      <c r="K92" s="10">
        <v>931306116</v>
      </c>
      <c r="L92" s="9"/>
      <c r="M92" s="10" t="s">
        <v>1447</v>
      </c>
      <c r="N92" s="11"/>
      <c r="O92" s="10"/>
      <c r="P92" s="10"/>
      <c r="Q92" s="7"/>
    </row>
    <row r="93" spans="3:17">
      <c r="C93" s="8" t="s">
        <v>1448</v>
      </c>
      <c r="D93" s="14"/>
      <c r="E93" s="10"/>
      <c r="F93" s="10"/>
      <c r="G93" s="10"/>
      <c r="H93" s="10"/>
      <c r="I93" s="10" t="s">
        <v>34</v>
      </c>
      <c r="J93" s="10"/>
      <c r="K93" s="10">
        <v>954755672</v>
      </c>
      <c r="L93" s="9"/>
      <c r="M93" s="10" t="s">
        <v>1449</v>
      </c>
      <c r="N93" s="11"/>
      <c r="O93" s="10"/>
      <c r="P93" s="10"/>
      <c r="Q93" s="7"/>
    </row>
    <row r="94" spans="3:17" ht="16.5">
      <c r="C94" s="17" t="s">
        <v>1450</v>
      </c>
      <c r="D94" s="14"/>
      <c r="E94" s="10" t="s">
        <v>1451</v>
      </c>
      <c r="F94" s="10"/>
      <c r="G94" s="10"/>
      <c r="H94" s="10"/>
      <c r="I94" s="15" t="s">
        <v>143</v>
      </c>
      <c r="J94" s="15"/>
      <c r="K94" s="15">
        <v>911663336</v>
      </c>
      <c r="L94" s="9"/>
      <c r="M94" s="10" t="s">
        <v>1452</v>
      </c>
      <c r="N94" s="11"/>
      <c r="O94" s="10"/>
      <c r="P94" s="10"/>
      <c r="Q94" s="7"/>
    </row>
    <row r="95" spans="3:17" ht="16.5">
      <c r="C95" s="17" t="s">
        <v>1453</v>
      </c>
      <c r="D95" s="14"/>
      <c r="E95" s="10" t="s">
        <v>1454</v>
      </c>
      <c r="F95" s="10"/>
      <c r="G95" s="10"/>
      <c r="H95" s="10"/>
      <c r="I95" s="15" t="s">
        <v>34</v>
      </c>
      <c r="J95" s="15"/>
      <c r="K95" s="15">
        <v>113659133</v>
      </c>
      <c r="L95" s="9"/>
      <c r="M95" s="10" t="s">
        <v>1455</v>
      </c>
      <c r="N95" s="11"/>
      <c r="O95" s="10"/>
      <c r="P95" s="10"/>
      <c r="Q95" s="7"/>
    </row>
    <row r="96" spans="3:17">
      <c r="C96" s="8" t="s">
        <v>1456</v>
      </c>
      <c r="D96" s="14"/>
      <c r="E96" s="10" t="s">
        <v>1457</v>
      </c>
      <c r="F96" s="10"/>
      <c r="G96" s="10"/>
      <c r="H96" s="10"/>
      <c r="I96" s="10" t="s">
        <v>34</v>
      </c>
      <c r="J96" s="10"/>
      <c r="K96" s="10">
        <v>770348912</v>
      </c>
      <c r="L96" s="9"/>
      <c r="M96" s="10" t="s">
        <v>1458</v>
      </c>
      <c r="N96" s="11"/>
      <c r="O96" s="10"/>
      <c r="P96" s="10"/>
      <c r="Q96" s="7"/>
    </row>
    <row r="97" spans="3:17" ht="16.5">
      <c r="C97" s="17" t="s">
        <v>1459</v>
      </c>
      <c r="D97" s="14"/>
      <c r="E97" s="10" t="s">
        <v>770</v>
      </c>
      <c r="F97" s="10"/>
      <c r="G97" s="10"/>
      <c r="H97" s="10"/>
      <c r="I97" s="15" t="s">
        <v>34</v>
      </c>
      <c r="J97" s="15"/>
      <c r="K97" s="15">
        <v>946069482</v>
      </c>
      <c r="L97" s="9"/>
      <c r="M97" s="10" t="s">
        <v>1460</v>
      </c>
      <c r="N97" s="11"/>
      <c r="O97" s="10"/>
      <c r="P97" s="10"/>
      <c r="Q97" s="7"/>
    </row>
    <row r="98" spans="3:17">
      <c r="C98" s="8" t="s">
        <v>1461</v>
      </c>
      <c r="D98" s="14"/>
      <c r="E98" s="10" t="s">
        <v>1462</v>
      </c>
      <c r="F98" s="10" t="s">
        <v>1463</v>
      </c>
      <c r="G98" s="10" t="s">
        <v>142</v>
      </c>
      <c r="H98" s="10"/>
      <c r="I98" s="10" t="s">
        <v>541</v>
      </c>
      <c r="J98" s="10"/>
      <c r="K98" s="10"/>
      <c r="L98" s="10"/>
      <c r="M98" s="10" t="s">
        <v>1464</v>
      </c>
      <c r="N98" s="10" t="s">
        <v>36</v>
      </c>
      <c r="O98" s="10" t="s">
        <v>1465</v>
      </c>
      <c r="P98" s="10"/>
      <c r="Q98" s="7"/>
    </row>
    <row r="99" spans="3:17">
      <c r="C99" s="2" t="s">
        <v>1466</v>
      </c>
      <c r="D99" s="1"/>
      <c r="E99" t="s">
        <v>1467</v>
      </c>
      <c r="F99" t="s">
        <v>1148</v>
      </c>
      <c r="G99" t="s">
        <v>98</v>
      </c>
      <c r="I99" t="s">
        <v>164</v>
      </c>
      <c r="M99" t="s">
        <v>1468</v>
      </c>
      <c r="N99" t="s">
        <v>44</v>
      </c>
      <c r="O99" t="s">
        <v>45</v>
      </c>
      <c r="Q99" s="3"/>
    </row>
    <row r="100" spans="3:17">
      <c r="C100" s="8" t="s">
        <v>1469</v>
      </c>
      <c r="D100" s="14"/>
      <c r="E100" s="10" t="s">
        <v>1470</v>
      </c>
      <c r="F100" s="10" t="s">
        <v>1471</v>
      </c>
      <c r="G100" s="10" t="s">
        <v>51</v>
      </c>
      <c r="H100" s="10"/>
      <c r="I100" s="10" t="s">
        <v>68</v>
      </c>
      <c r="J100" s="10"/>
      <c r="K100" s="10"/>
      <c r="L100" s="10"/>
      <c r="M100" s="10" t="s">
        <v>1472</v>
      </c>
      <c r="N100" s="10" t="s">
        <v>36</v>
      </c>
      <c r="O100" s="10" t="s">
        <v>1473</v>
      </c>
      <c r="P100" s="10"/>
      <c r="Q100" s="7"/>
    </row>
    <row r="101" spans="3:17">
      <c r="C101" s="8" t="s">
        <v>1474</v>
      </c>
      <c r="D101" s="14"/>
      <c r="E101" s="10" t="s">
        <v>1475</v>
      </c>
      <c r="F101" s="10" t="s">
        <v>1476</v>
      </c>
      <c r="G101" s="10" t="s">
        <v>1477</v>
      </c>
      <c r="H101" s="10"/>
      <c r="I101" s="10" t="s">
        <v>1154</v>
      </c>
      <c r="J101" s="10"/>
      <c r="K101" s="10"/>
      <c r="L101" s="10"/>
      <c r="M101" s="10" t="s">
        <v>1478</v>
      </c>
      <c r="N101" s="10" t="s">
        <v>36</v>
      </c>
      <c r="O101" s="10" t="s">
        <v>381</v>
      </c>
      <c r="P101" s="10"/>
      <c r="Q101" s="7"/>
    </row>
    <row r="102" spans="3:17">
      <c r="C102" s="2" t="s">
        <v>1479</v>
      </c>
      <c r="D102" s="1"/>
      <c r="E102" t="s">
        <v>1480</v>
      </c>
      <c r="F102" t="s">
        <v>1148</v>
      </c>
      <c r="G102" t="s">
        <v>98</v>
      </c>
      <c r="I102" t="s">
        <v>219</v>
      </c>
      <c r="M102" t="s">
        <v>1481</v>
      </c>
      <c r="N102" t="s">
        <v>44</v>
      </c>
      <c r="O102" t="s">
        <v>45</v>
      </c>
      <c r="Q102" s="3"/>
    </row>
    <row r="103" spans="3:17">
      <c r="C103" s="8" t="s">
        <v>1482</v>
      </c>
      <c r="D103" s="14"/>
      <c r="E103" s="10" t="s">
        <v>1483</v>
      </c>
      <c r="F103" s="10" t="s">
        <v>1211</v>
      </c>
      <c r="G103" s="10" t="s">
        <v>402</v>
      </c>
      <c r="H103" s="10"/>
      <c r="I103" s="10" t="s">
        <v>24</v>
      </c>
      <c r="J103" s="10"/>
      <c r="K103" s="10"/>
      <c r="L103" s="10" t="s">
        <v>1484</v>
      </c>
      <c r="M103" s="10" t="s">
        <v>1485</v>
      </c>
      <c r="N103" s="10" t="s">
        <v>27</v>
      </c>
      <c r="O103" s="11"/>
      <c r="P103" s="11"/>
      <c r="Q103" s="4"/>
    </row>
    <row r="104" spans="3:17" ht="16.5">
      <c r="C104" s="17" t="s">
        <v>1058</v>
      </c>
      <c r="D104" s="14"/>
      <c r="E104" s="10" t="s">
        <v>1486</v>
      </c>
      <c r="F104" s="10" t="s">
        <v>1156</v>
      </c>
      <c r="G104" s="10"/>
      <c r="H104" s="10"/>
      <c r="I104" s="15" t="s">
        <v>34</v>
      </c>
      <c r="J104" s="15"/>
      <c r="K104" s="15">
        <v>956092354</v>
      </c>
      <c r="L104" s="9"/>
      <c r="M104" s="10" t="s">
        <v>1487</v>
      </c>
      <c r="N104" s="11"/>
      <c r="O104" s="10"/>
      <c r="P104" s="10"/>
      <c r="Q104" s="7"/>
    </row>
    <row r="105" spans="3:17" ht="16.5">
      <c r="C105" s="17" t="s">
        <v>1488</v>
      </c>
      <c r="D105" s="14"/>
      <c r="E105" s="10" t="s">
        <v>1489</v>
      </c>
      <c r="F105" s="10"/>
      <c r="G105" s="10"/>
      <c r="H105" s="10"/>
      <c r="I105" s="15" t="s">
        <v>34</v>
      </c>
      <c r="J105" s="15"/>
      <c r="K105" s="15">
        <v>946068564</v>
      </c>
      <c r="L105" s="9"/>
      <c r="M105" s="10" t="s">
        <v>1490</v>
      </c>
      <c r="N105" s="11"/>
      <c r="O105" s="10"/>
      <c r="P105" s="10"/>
      <c r="Q105" s="7"/>
    </row>
    <row r="106" spans="3:17">
      <c r="C106" s="8" t="s">
        <v>507</v>
      </c>
      <c r="D106" s="14"/>
      <c r="E106" s="10" t="s">
        <v>1491</v>
      </c>
      <c r="F106" s="10" t="s">
        <v>1492</v>
      </c>
      <c r="G106" s="10" t="s">
        <v>1493</v>
      </c>
      <c r="H106" s="10"/>
      <c r="I106" s="10" t="s">
        <v>510</v>
      </c>
      <c r="J106" s="10"/>
      <c r="K106" s="10"/>
      <c r="L106" s="10" t="s">
        <v>1494</v>
      </c>
      <c r="M106" s="10" t="s">
        <v>1495</v>
      </c>
      <c r="N106" s="10" t="s">
        <v>27</v>
      </c>
      <c r="O106" s="11"/>
      <c r="P106" s="11"/>
      <c r="Q106" s="4"/>
    </row>
    <row r="107" spans="3:17">
      <c r="C107" s="5" t="s">
        <v>1496</v>
      </c>
      <c r="D107" s="13"/>
      <c r="E107" s="12" t="s">
        <v>1497</v>
      </c>
      <c r="F107" s="12" t="s">
        <v>1148</v>
      </c>
      <c r="G107" s="12" t="s">
        <v>98</v>
      </c>
      <c r="H107" s="12"/>
      <c r="I107" s="12" t="s">
        <v>541</v>
      </c>
      <c r="J107" s="12"/>
      <c r="K107" s="12"/>
      <c r="L107" s="12"/>
      <c r="M107" s="12" t="s">
        <v>1498</v>
      </c>
      <c r="N107" t="s">
        <v>44</v>
      </c>
      <c r="O107" s="12" t="s">
        <v>45</v>
      </c>
      <c r="P107" s="12"/>
      <c r="Q107" s="6"/>
    </row>
  </sheetData>
  <conditionalFormatting sqref="C2:Q24 D25:H48 L25:Q48 C49:Q107">
    <cfRule type="expression" dxfId="4" priority="1">
      <formula>LEFT($O2,1)="5"</formula>
    </cfRule>
    <cfRule type="expression" dxfId="3" priority="2">
      <formula>LEFT($O2,1)="4"</formula>
    </cfRule>
    <cfRule type="expression" dxfId="2" priority="3">
      <formula>LEFT($O2,1)="3"</formula>
    </cfRule>
    <cfRule type="expression" dxfId="1" priority="4">
      <formula>LEFT($O2,1)="2"</formula>
    </cfRule>
    <cfRule type="expression" dxfId="0" priority="5">
      <formula>LEFT($O2,1)="1"</formula>
    </cfRule>
  </conditionalFormatting>
  <dataValidations count="1">
    <dataValidation type="date" allowBlank="1" showInputMessage="1" showErrorMessage="1" sqref="D2:D107" xr:uid="{AF8A1C11-AFDD-42DD-9691-0F03A57A9E98}">
      <formula1>45658</formula1>
      <formula2>46388</formula2>
    </dataValidation>
  </dataValidations>
  <hyperlinks>
    <hyperlink ref="H84" r:id="rId1" xr:uid="{E49DB011-1A18-407E-B3EA-C55EF2030721}"/>
    <hyperlink ref="H51" r:id="rId2" xr:uid="{1FD40466-436D-4AD9-9D82-97019040FFE8}"/>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5A978E2-9289-4CEF-871C-7496AB23268F}">
          <x14:formula1>
            <xm:f>Sheet1!$B$2:$B$6</xm:f>
          </x14:formula1>
          <xm:sqref>P2:P107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EFFE1-6CBF-4B6C-9E21-CBC24963417F}">
  <sheetPr filterMode="1"/>
  <dimension ref="A2:P52"/>
  <sheetViews>
    <sheetView topLeftCell="A3" workbookViewId="0">
      <selection activeCell="N6" sqref="N6:N52"/>
    </sheetView>
  </sheetViews>
  <sheetFormatPr defaultRowHeight="15"/>
  <cols>
    <col min="6" max="6" width="11.140625" customWidth="1"/>
  </cols>
  <sheetData>
    <row r="2" spans="1:16">
      <c r="B2" s="9"/>
      <c r="C2" s="9"/>
      <c r="D2" s="9"/>
      <c r="E2" s="9"/>
      <c r="F2" s="9"/>
      <c r="G2" s="9"/>
      <c r="H2" s="9"/>
      <c r="I2" s="9"/>
      <c r="J2" s="9"/>
      <c r="K2" s="9"/>
      <c r="L2" s="9"/>
      <c r="M2" s="9"/>
      <c r="N2" s="9"/>
      <c r="O2" s="9"/>
      <c r="P2" s="9"/>
    </row>
    <row r="3" spans="1:16">
      <c r="B3" s="54" t="s">
        <v>11</v>
      </c>
      <c r="C3" s="55" t="s">
        <v>1499</v>
      </c>
      <c r="D3" s="55" t="s">
        <v>7</v>
      </c>
      <c r="E3" s="55" t="s">
        <v>1500</v>
      </c>
      <c r="F3" s="55" t="s">
        <v>802</v>
      </c>
      <c r="G3" s="55" t="s">
        <v>803</v>
      </c>
      <c r="H3" s="55" t="s">
        <v>1501</v>
      </c>
      <c r="I3" s="55" t="s">
        <v>1502</v>
      </c>
      <c r="J3" s="55" t="s">
        <v>6</v>
      </c>
      <c r="K3" s="55" t="s">
        <v>3</v>
      </c>
      <c r="L3" s="55" t="s">
        <v>1503</v>
      </c>
      <c r="M3" s="55" t="s">
        <v>12</v>
      </c>
      <c r="N3" s="55" t="s">
        <v>1504</v>
      </c>
      <c r="O3" s="55" t="s">
        <v>1505</v>
      </c>
      <c r="P3" s="56" t="s">
        <v>10</v>
      </c>
    </row>
    <row r="4" spans="1:16" hidden="1">
      <c r="A4" t="str">
        <f>_xlfn.XLOOKUP(P4,Calls!L:L,Calls!B:B)</f>
        <v>MEDINA FOUNDATION</v>
      </c>
      <c r="B4" s="57" t="s">
        <v>810</v>
      </c>
      <c r="C4" s="58" t="s">
        <v>345</v>
      </c>
      <c r="D4" s="58" t="s">
        <v>143</v>
      </c>
      <c r="E4" s="58" t="s">
        <v>35</v>
      </c>
      <c r="F4" s="59">
        <v>103615717</v>
      </c>
      <c r="G4" s="58"/>
      <c r="H4" s="58" t="s">
        <v>347</v>
      </c>
      <c r="I4" s="58" t="s">
        <v>142</v>
      </c>
      <c r="J4" s="58"/>
      <c r="K4" s="58" t="s">
        <v>346</v>
      </c>
      <c r="L4" s="58"/>
      <c r="M4" s="58"/>
      <c r="N4" s="58" t="s">
        <v>348</v>
      </c>
      <c r="O4" s="58" t="s">
        <v>1506</v>
      </c>
      <c r="P4" s="60">
        <v>910745225</v>
      </c>
    </row>
    <row r="5" spans="1:16" hidden="1">
      <c r="A5" t="str">
        <f>_xlfn.XLOOKUP(P5,Calls!L:L,Calls!B:B)</f>
        <v>HELLMAN FOUNDATION</v>
      </c>
      <c r="B5" s="57" t="s">
        <v>810</v>
      </c>
      <c r="C5" s="61" t="s">
        <v>285</v>
      </c>
      <c r="D5" s="61" t="s">
        <v>34</v>
      </c>
      <c r="E5" s="61" t="s">
        <v>35</v>
      </c>
      <c r="F5" s="62">
        <v>635837954</v>
      </c>
      <c r="G5" s="61"/>
      <c r="H5" s="61" t="s">
        <v>287</v>
      </c>
      <c r="I5" s="61" t="s">
        <v>288</v>
      </c>
      <c r="J5" s="61"/>
      <c r="K5" s="61" t="s">
        <v>286</v>
      </c>
      <c r="L5" s="61"/>
      <c r="M5" s="61"/>
      <c r="N5" s="61" t="s">
        <v>290</v>
      </c>
      <c r="O5" s="61" t="s">
        <v>1507</v>
      </c>
      <c r="P5" s="63">
        <v>611583546</v>
      </c>
    </row>
    <row r="6" spans="1:16">
      <c r="A6" t="str">
        <f>_xlfn.XLOOKUP(P6,Calls!L:L,Calls!B:B)</f>
        <v>RAIKES FOUNDATION</v>
      </c>
      <c r="B6" s="57" t="s">
        <v>810</v>
      </c>
      <c r="C6" s="58" t="s">
        <v>382</v>
      </c>
      <c r="D6" s="58" t="s">
        <v>143</v>
      </c>
      <c r="E6" s="58" t="s">
        <v>35</v>
      </c>
      <c r="F6" s="59">
        <v>90404225</v>
      </c>
      <c r="G6" s="58"/>
      <c r="H6" s="58" t="s">
        <v>384</v>
      </c>
      <c r="I6" s="58" t="s">
        <v>385</v>
      </c>
      <c r="J6" s="58" t="s">
        <v>386</v>
      </c>
      <c r="K6" s="58" t="s">
        <v>383</v>
      </c>
      <c r="L6" s="58"/>
      <c r="M6" s="58"/>
      <c r="N6" s="58" t="s">
        <v>387</v>
      </c>
      <c r="O6" s="58" t="s">
        <v>1508</v>
      </c>
      <c r="P6" s="60">
        <v>912173492</v>
      </c>
    </row>
    <row r="7" spans="1:16">
      <c r="A7" t="str">
        <f>_xlfn.XLOOKUP(P7,Calls!L:L,Calls!B:B)</f>
        <v>SEMPRA FOUNDATION</v>
      </c>
      <c r="B7" s="57" t="s">
        <v>810</v>
      </c>
      <c r="C7" s="61" t="s">
        <v>394</v>
      </c>
      <c r="D7" s="61" t="s">
        <v>34</v>
      </c>
      <c r="E7" s="61" t="s">
        <v>35</v>
      </c>
      <c r="F7" s="62">
        <v>14132710</v>
      </c>
      <c r="G7" s="61">
        <v>688</v>
      </c>
      <c r="H7" s="61" t="s">
        <v>396</v>
      </c>
      <c r="I7" s="61" t="s">
        <v>397</v>
      </c>
      <c r="J7" s="61"/>
      <c r="K7" s="61" t="s">
        <v>395</v>
      </c>
      <c r="L7" s="61"/>
      <c r="M7" s="61" t="s">
        <v>1509</v>
      </c>
      <c r="N7" s="61" t="s">
        <v>398</v>
      </c>
      <c r="O7" s="61" t="s">
        <v>1510</v>
      </c>
      <c r="P7" s="63">
        <v>261325469</v>
      </c>
    </row>
    <row r="8" spans="1:16" hidden="1">
      <c r="A8" t="str">
        <f>_xlfn.XLOOKUP(P8,Calls!L:L,Calls!B:B)</f>
        <v>First Interstate BancSystem Foundation</v>
      </c>
      <c r="B8" s="57" t="s">
        <v>810</v>
      </c>
      <c r="C8" s="58" t="s">
        <v>265</v>
      </c>
      <c r="D8" s="58" t="s">
        <v>113</v>
      </c>
      <c r="E8" s="58" t="s">
        <v>114</v>
      </c>
      <c r="F8" s="59">
        <v>20270202</v>
      </c>
      <c r="G8" s="58">
        <v>538</v>
      </c>
      <c r="H8" s="58" t="s">
        <v>1511</v>
      </c>
      <c r="I8" s="58" t="s">
        <v>268</v>
      </c>
      <c r="J8" s="58" t="s">
        <v>269</v>
      </c>
      <c r="K8" s="58" t="s">
        <v>266</v>
      </c>
      <c r="L8" s="58"/>
      <c r="M8" s="58" t="s">
        <v>1512</v>
      </c>
      <c r="N8" s="58"/>
      <c r="O8" s="58" t="s">
        <v>270</v>
      </c>
      <c r="P8" s="60">
        <v>810465899</v>
      </c>
    </row>
    <row r="9" spans="1:16">
      <c r="A9" t="str">
        <f>_xlfn.XLOOKUP(P9,Calls!L:L,Calls!B:B)</f>
        <v>THE COLORADO HEALTH FOUNDATION</v>
      </c>
      <c r="B9" s="57" t="s">
        <v>810</v>
      </c>
      <c r="C9" s="61" t="s">
        <v>442</v>
      </c>
      <c r="D9" s="61" t="s">
        <v>105</v>
      </c>
      <c r="E9" s="61" t="s">
        <v>114</v>
      </c>
      <c r="F9" s="62">
        <v>2822619846</v>
      </c>
      <c r="G9" s="61">
        <v>238</v>
      </c>
      <c r="H9" s="61" t="s">
        <v>444</v>
      </c>
      <c r="I9" s="61" t="s">
        <v>402</v>
      </c>
      <c r="J9" s="61"/>
      <c r="K9" s="61" t="s">
        <v>443</v>
      </c>
      <c r="L9" s="61"/>
      <c r="M9" s="61" t="s">
        <v>1513</v>
      </c>
      <c r="N9" s="61" t="s">
        <v>445</v>
      </c>
      <c r="O9" s="61" t="s">
        <v>1514</v>
      </c>
      <c r="P9" s="63">
        <v>742568941</v>
      </c>
    </row>
    <row r="10" spans="1:16" hidden="1">
      <c r="A10" t="str">
        <f>_xlfn.XLOOKUP(P10,Calls!L:L,Calls!B:B)</f>
        <v>The Ford Family Foundation</v>
      </c>
      <c r="B10" s="57" t="s">
        <v>810</v>
      </c>
      <c r="C10" s="58" t="s">
        <v>451</v>
      </c>
      <c r="D10" s="58" t="s">
        <v>336</v>
      </c>
      <c r="E10" s="58" t="s">
        <v>35</v>
      </c>
      <c r="F10" s="59">
        <v>1125032912</v>
      </c>
      <c r="G10" s="58">
        <v>171</v>
      </c>
      <c r="H10" s="58" t="s">
        <v>453</v>
      </c>
      <c r="I10" s="58" t="s">
        <v>22</v>
      </c>
      <c r="J10" s="58" t="s">
        <v>454</v>
      </c>
      <c r="K10" s="58" t="s">
        <v>452</v>
      </c>
      <c r="L10" s="58" t="s">
        <v>1515</v>
      </c>
      <c r="M10" s="58" t="s">
        <v>1516</v>
      </c>
      <c r="N10" s="58" t="s">
        <v>1517</v>
      </c>
      <c r="O10" s="58" t="s">
        <v>455</v>
      </c>
      <c r="P10" s="60">
        <v>936026156</v>
      </c>
    </row>
    <row r="11" spans="1:16" hidden="1">
      <c r="A11" t="str">
        <f>_xlfn.XLOOKUP(P11,Calls!L:L,Calls!B:B)</f>
        <v>Conrad N. Hilton Foundation</v>
      </c>
      <c r="B11" s="57" t="s">
        <v>810</v>
      </c>
      <c r="C11" s="61" t="s">
        <v>659</v>
      </c>
      <c r="D11" s="61" t="s">
        <v>34</v>
      </c>
      <c r="E11" s="61" t="s">
        <v>35</v>
      </c>
      <c r="F11" s="62">
        <v>7099706570</v>
      </c>
      <c r="G11" s="61">
        <v>170</v>
      </c>
      <c r="H11" s="61" t="s">
        <v>660</v>
      </c>
      <c r="I11" s="61" t="s">
        <v>661</v>
      </c>
      <c r="J11" s="61" t="s">
        <v>662</v>
      </c>
      <c r="K11" s="61"/>
      <c r="L11" s="61" t="s">
        <v>910</v>
      </c>
      <c r="M11" s="61" t="s">
        <v>1518</v>
      </c>
      <c r="N11" s="61"/>
      <c r="O11" s="61" t="s">
        <v>663</v>
      </c>
      <c r="P11" s="63">
        <v>943100217</v>
      </c>
    </row>
    <row r="12" spans="1:16" hidden="1">
      <c r="A12" t="str">
        <f>_xlfn.XLOOKUP(P12,Calls!L:L,Calls!B:B)</f>
        <v>MARIE LAMFROM CHARITABLE FOUNDATION</v>
      </c>
      <c r="B12" s="57" t="s">
        <v>810</v>
      </c>
      <c r="C12" s="58" t="s">
        <v>332</v>
      </c>
      <c r="D12" s="58" t="s">
        <v>336</v>
      </c>
      <c r="E12" s="58" t="s">
        <v>35</v>
      </c>
      <c r="F12" s="59">
        <v>374872001</v>
      </c>
      <c r="G12" s="58">
        <v>149</v>
      </c>
      <c r="H12" s="58" t="s">
        <v>334</v>
      </c>
      <c r="I12" s="58" t="s">
        <v>51</v>
      </c>
      <c r="J12" s="58" t="s">
        <v>335</v>
      </c>
      <c r="K12" s="58"/>
      <c r="L12" s="58" t="s">
        <v>1096</v>
      </c>
      <c r="M12" s="58" t="s">
        <v>1519</v>
      </c>
      <c r="N12" s="58"/>
      <c r="O12" s="58" t="s">
        <v>337</v>
      </c>
      <c r="P12" s="60">
        <v>931254171</v>
      </c>
    </row>
    <row r="13" spans="1:16" hidden="1">
      <c r="A13" t="str">
        <f>_xlfn.XLOOKUP(P13,Calls!L:L,Calls!B:B)</f>
        <v>M J MURDOCK CHARITABLE TRUST</v>
      </c>
      <c r="B13" s="57" t="s">
        <v>810</v>
      </c>
      <c r="C13" s="61" t="s">
        <v>316</v>
      </c>
      <c r="D13" s="61" t="s">
        <v>143</v>
      </c>
      <c r="E13" s="61" t="s">
        <v>35</v>
      </c>
      <c r="F13" s="62">
        <v>1892899273</v>
      </c>
      <c r="G13" s="61">
        <v>134</v>
      </c>
      <c r="H13" s="61" t="s">
        <v>318</v>
      </c>
      <c r="I13" s="61" t="s">
        <v>319</v>
      </c>
      <c r="J13" s="61" t="s">
        <v>320</v>
      </c>
      <c r="K13" s="61" t="s">
        <v>317</v>
      </c>
      <c r="L13" s="61" t="s">
        <v>1520</v>
      </c>
      <c r="M13" s="61" t="s">
        <v>1521</v>
      </c>
      <c r="N13" s="61" t="s">
        <v>1522</v>
      </c>
      <c r="O13" s="61" t="s">
        <v>321</v>
      </c>
      <c r="P13" s="63">
        <v>237456468</v>
      </c>
    </row>
    <row r="14" spans="1:16" hidden="1">
      <c r="A14" t="str">
        <f>_xlfn.XLOOKUP(P14,Calls!L:L,Calls!B:B)</f>
        <v>The California Wellness Foundation</v>
      </c>
      <c r="B14" s="57" t="s">
        <v>810</v>
      </c>
      <c r="C14" s="58" t="s">
        <v>437</v>
      </c>
      <c r="D14" s="58" t="s">
        <v>34</v>
      </c>
      <c r="E14" s="58" t="s">
        <v>35</v>
      </c>
      <c r="F14" s="59">
        <v>1042135742</v>
      </c>
      <c r="G14" s="58">
        <v>126</v>
      </c>
      <c r="H14" s="58" t="s">
        <v>433</v>
      </c>
      <c r="I14" s="58" t="s">
        <v>439</v>
      </c>
      <c r="J14" s="58" t="s">
        <v>440</v>
      </c>
      <c r="K14" s="58" t="s">
        <v>438</v>
      </c>
      <c r="L14" s="58" t="s">
        <v>924</v>
      </c>
      <c r="M14" s="58" t="s">
        <v>1523</v>
      </c>
      <c r="N14" s="58"/>
      <c r="O14" s="58" t="s">
        <v>441</v>
      </c>
      <c r="P14" s="60">
        <v>954292101</v>
      </c>
    </row>
    <row r="15" spans="1:16" hidden="1">
      <c r="A15" t="str">
        <f>_xlfn.XLOOKUP(P15,Calls!L:L,Calls!B:B)</f>
        <v>The James Irvine Foundation</v>
      </c>
      <c r="B15" s="57" t="s">
        <v>810</v>
      </c>
      <c r="C15" s="61" t="s">
        <v>467</v>
      </c>
      <c r="D15" s="61" t="s">
        <v>34</v>
      </c>
      <c r="E15" s="61" t="s">
        <v>35</v>
      </c>
      <c r="F15" s="62">
        <v>3300619484</v>
      </c>
      <c r="G15" s="61">
        <v>109</v>
      </c>
      <c r="H15" s="61" t="s">
        <v>469</v>
      </c>
      <c r="I15" s="61" t="s">
        <v>274</v>
      </c>
      <c r="J15" s="61" t="s">
        <v>470</v>
      </c>
      <c r="K15" s="61"/>
      <c r="L15" s="61" t="s">
        <v>1524</v>
      </c>
      <c r="M15" s="61" t="s">
        <v>1525</v>
      </c>
      <c r="N15" s="61"/>
      <c r="O15" s="61" t="s">
        <v>471</v>
      </c>
      <c r="P15" s="63">
        <v>941236937</v>
      </c>
    </row>
    <row r="16" spans="1:16" hidden="1">
      <c r="A16" t="str">
        <f>_xlfn.XLOOKUP(P16,Calls!L:L,Calls!B:B)</f>
        <v>Meyer Memorial Trust</v>
      </c>
      <c r="B16" s="57" t="s">
        <v>810</v>
      </c>
      <c r="C16" s="58" t="s">
        <v>724</v>
      </c>
      <c r="D16" s="58" t="s">
        <v>336</v>
      </c>
      <c r="E16" s="58" t="s">
        <v>35</v>
      </c>
      <c r="F16" s="59">
        <v>885167113</v>
      </c>
      <c r="G16" s="58">
        <v>107</v>
      </c>
      <c r="H16" s="58" t="s">
        <v>351</v>
      </c>
      <c r="I16" s="58" t="s">
        <v>726</v>
      </c>
      <c r="J16" s="58" t="s">
        <v>352</v>
      </c>
      <c r="K16" s="58" t="s">
        <v>725</v>
      </c>
      <c r="L16" s="58" t="s">
        <v>937</v>
      </c>
      <c r="M16" s="58" t="s">
        <v>1526</v>
      </c>
      <c r="N16" s="58"/>
      <c r="O16" s="58" t="s">
        <v>727</v>
      </c>
      <c r="P16" s="60">
        <v>930806316</v>
      </c>
    </row>
    <row r="17" spans="1:16">
      <c r="A17" t="str">
        <f>_xlfn.XLOOKUP(P17,Calls!L:L,Calls!B:B)</f>
        <v>THE ROUNDHOUSE FOUNDATION</v>
      </c>
      <c r="B17" s="57" t="s">
        <v>810</v>
      </c>
      <c r="C17" s="61" t="s">
        <v>153</v>
      </c>
      <c r="D17" s="61" t="s">
        <v>336</v>
      </c>
      <c r="E17" s="61" t="s">
        <v>35</v>
      </c>
      <c r="F17" s="62">
        <v>358883108</v>
      </c>
      <c r="G17" s="61">
        <v>91</v>
      </c>
      <c r="H17" s="61" t="s">
        <v>155</v>
      </c>
      <c r="I17" s="61" t="s">
        <v>156</v>
      </c>
      <c r="J17" s="61" t="s">
        <v>1527</v>
      </c>
      <c r="K17" s="61" t="s">
        <v>154</v>
      </c>
      <c r="L17" s="61"/>
      <c r="M17" s="61" t="s">
        <v>1528</v>
      </c>
      <c r="N17" s="61" t="s">
        <v>158</v>
      </c>
      <c r="O17" s="61" t="s">
        <v>1529</v>
      </c>
      <c r="P17" s="63">
        <v>226930631</v>
      </c>
    </row>
    <row r="18" spans="1:16" hidden="1">
      <c r="A18" t="str">
        <f>_xlfn.XLOOKUP(P18,Calls!L:L,Calls!B:B)</f>
        <v>Weingart Foundation</v>
      </c>
      <c r="B18" s="57" t="s">
        <v>810</v>
      </c>
      <c r="C18" s="58" t="s">
        <v>795</v>
      </c>
      <c r="D18" s="58" t="s">
        <v>34</v>
      </c>
      <c r="E18" s="58" t="s">
        <v>35</v>
      </c>
      <c r="F18" s="59">
        <v>866296097</v>
      </c>
      <c r="G18" s="58">
        <v>61</v>
      </c>
      <c r="H18" s="58" t="s">
        <v>796</v>
      </c>
      <c r="I18" s="58" t="s">
        <v>274</v>
      </c>
      <c r="J18" s="58" t="s">
        <v>517</v>
      </c>
      <c r="K18" s="58" t="s">
        <v>514</v>
      </c>
      <c r="L18" s="58" t="s">
        <v>977</v>
      </c>
      <c r="M18" s="58" t="s">
        <v>1530</v>
      </c>
      <c r="N18" s="58"/>
      <c r="O18" s="58" t="s">
        <v>797</v>
      </c>
      <c r="P18" s="60">
        <v>956054814</v>
      </c>
    </row>
    <row r="19" spans="1:16">
      <c r="A19" t="str">
        <f>_xlfn.XLOOKUP(P19,Calls!L:L,Calls!B:B)</f>
        <v>THE COLLINS FOUNDATION</v>
      </c>
      <c r="B19" s="57" t="s">
        <v>810</v>
      </c>
      <c r="C19" s="61" t="s">
        <v>55</v>
      </c>
      <c r="D19" s="61" t="s">
        <v>336</v>
      </c>
      <c r="E19" s="61" t="s">
        <v>35</v>
      </c>
      <c r="F19" s="62">
        <v>227675139</v>
      </c>
      <c r="G19" s="61">
        <v>50</v>
      </c>
      <c r="H19" s="61" t="s">
        <v>1531</v>
      </c>
      <c r="I19" s="61" t="s">
        <v>260</v>
      </c>
      <c r="J19" s="61" t="s">
        <v>1532</v>
      </c>
      <c r="K19" s="61" t="s">
        <v>56</v>
      </c>
      <c r="L19" s="61"/>
      <c r="M19" s="61" t="s">
        <v>1533</v>
      </c>
      <c r="N19" s="61" t="s">
        <v>61</v>
      </c>
      <c r="O19" s="61" t="s">
        <v>1534</v>
      </c>
      <c r="P19" s="63">
        <v>936021893</v>
      </c>
    </row>
    <row r="20" spans="1:16">
      <c r="A20" t="str">
        <f>_xlfn.XLOOKUP(P20,Calls!L:L,Calls!B:B)</f>
        <v>SIERRA HEALTH FOUNDATION</v>
      </c>
      <c r="B20" s="57" t="s">
        <v>810</v>
      </c>
      <c r="C20" s="58" t="s">
        <v>399</v>
      </c>
      <c r="D20" s="58" t="s">
        <v>34</v>
      </c>
      <c r="E20" s="58" t="s">
        <v>35</v>
      </c>
      <c r="F20" s="59">
        <v>57860059</v>
      </c>
      <c r="G20" s="58">
        <v>45</v>
      </c>
      <c r="H20" s="58" t="s">
        <v>401</v>
      </c>
      <c r="I20" s="58" t="s">
        <v>402</v>
      </c>
      <c r="J20" s="58" t="s">
        <v>403</v>
      </c>
      <c r="K20" s="58" t="s">
        <v>400</v>
      </c>
      <c r="L20" s="58" t="s">
        <v>1535</v>
      </c>
      <c r="M20" s="58" t="s">
        <v>1536</v>
      </c>
      <c r="N20" s="58" t="s">
        <v>404</v>
      </c>
      <c r="O20" s="58" t="s">
        <v>1537</v>
      </c>
      <c r="P20" s="60">
        <v>680050036</v>
      </c>
    </row>
    <row r="21" spans="1:16">
      <c r="A21" t="str">
        <f>_xlfn.XLOOKUP(P21,Calls!L:L,Calls!B:B)</f>
        <v>SAMUELI FOUNDATION</v>
      </c>
      <c r="B21" s="57" t="s">
        <v>810</v>
      </c>
      <c r="C21" s="61" t="s">
        <v>603</v>
      </c>
      <c r="D21" s="61" t="s">
        <v>34</v>
      </c>
      <c r="E21" s="61" t="s">
        <v>35</v>
      </c>
      <c r="F21" s="62">
        <v>45536119</v>
      </c>
      <c r="G21" s="61">
        <v>45</v>
      </c>
      <c r="H21" s="61" t="s">
        <v>605</v>
      </c>
      <c r="I21" s="61" t="s">
        <v>606</v>
      </c>
      <c r="J21" s="61" t="s">
        <v>607</v>
      </c>
      <c r="K21" s="61" t="s">
        <v>604</v>
      </c>
      <c r="L21" s="61"/>
      <c r="M21" s="61" t="s">
        <v>1538</v>
      </c>
      <c r="N21" s="61" t="s">
        <v>608</v>
      </c>
      <c r="O21" s="61" t="s">
        <v>1539</v>
      </c>
      <c r="P21" s="63">
        <v>330758237</v>
      </c>
    </row>
    <row r="22" spans="1:16">
      <c r="A22" t="str">
        <f>_xlfn.XLOOKUP(P22,Calls!L:L,Calls!B:B)</f>
        <v>SUNLIGHT GIVING</v>
      </c>
      <c r="B22" s="57" t="s">
        <v>810</v>
      </c>
      <c r="C22" s="58" t="s">
        <v>738</v>
      </c>
      <c r="D22" s="58" t="s">
        <v>34</v>
      </c>
      <c r="E22" s="58" t="s">
        <v>35</v>
      </c>
      <c r="F22" s="59">
        <v>471220977</v>
      </c>
      <c r="G22" s="58">
        <v>44</v>
      </c>
      <c r="H22" s="58" t="s">
        <v>739</v>
      </c>
      <c r="I22" s="58" t="s">
        <v>740</v>
      </c>
      <c r="J22" s="58"/>
      <c r="K22" s="58"/>
      <c r="L22" s="58" t="s">
        <v>1540</v>
      </c>
      <c r="M22" s="58" t="s">
        <v>1541</v>
      </c>
      <c r="N22" s="58" t="s">
        <v>741</v>
      </c>
      <c r="O22" s="58" t="s">
        <v>1542</v>
      </c>
      <c r="P22" s="60">
        <v>471820379</v>
      </c>
    </row>
    <row r="23" spans="1:16" hidden="1">
      <c r="A23" t="str">
        <f>_xlfn.XLOOKUP(P23,Calls!L:L,Calls!B:B)</f>
        <v>MARSHALL L AND PERRINE D MCCUNE</v>
      </c>
      <c r="B23" s="57" t="s">
        <v>810</v>
      </c>
      <c r="C23" s="61" t="s">
        <v>338</v>
      </c>
      <c r="D23" s="61" t="s">
        <v>342</v>
      </c>
      <c r="E23" s="61" t="s">
        <v>114</v>
      </c>
      <c r="F23" s="62">
        <v>91819670</v>
      </c>
      <c r="G23" s="61">
        <v>43</v>
      </c>
      <c r="H23" s="61" t="s">
        <v>340</v>
      </c>
      <c r="I23" s="61" t="s">
        <v>142</v>
      </c>
      <c r="J23" s="61" t="s">
        <v>341</v>
      </c>
      <c r="K23" s="61" t="s">
        <v>339</v>
      </c>
      <c r="L23" s="61" t="s">
        <v>1543</v>
      </c>
      <c r="M23" s="61" t="s">
        <v>1544</v>
      </c>
      <c r="N23" s="61"/>
      <c r="O23" s="61" t="s">
        <v>343</v>
      </c>
      <c r="P23" s="63">
        <v>850429439</v>
      </c>
    </row>
    <row r="24" spans="1:16">
      <c r="A24" t="str">
        <f>_xlfn.XLOOKUP(P24,Calls!L:L,Calls!B:B)</f>
        <v>The McConnell Foundation</v>
      </c>
      <c r="B24" s="57" t="s">
        <v>810</v>
      </c>
      <c r="C24" s="58" t="s">
        <v>747</v>
      </c>
      <c r="D24" s="58" t="s">
        <v>34</v>
      </c>
      <c r="E24" s="58" t="s">
        <v>35</v>
      </c>
      <c r="F24" s="59">
        <v>420547459</v>
      </c>
      <c r="G24" s="58">
        <v>39</v>
      </c>
      <c r="H24" s="58" t="s">
        <v>749</v>
      </c>
      <c r="I24" s="58" t="s">
        <v>274</v>
      </c>
      <c r="J24" s="58"/>
      <c r="K24" s="58" t="s">
        <v>748</v>
      </c>
      <c r="L24" s="58"/>
      <c r="M24" s="58" t="s">
        <v>1545</v>
      </c>
      <c r="N24" s="58" t="s">
        <v>750</v>
      </c>
      <c r="O24" s="58" t="s">
        <v>1546</v>
      </c>
      <c r="P24" s="60">
        <v>946102700</v>
      </c>
    </row>
    <row r="25" spans="1:16" hidden="1">
      <c r="A25" t="str">
        <f>_xlfn.XLOOKUP(P25,Calls!L:L,Calls!B:B)</f>
        <v>PRICE PHILANTHROPIES FOUNDATION</v>
      </c>
      <c r="B25" s="57" t="s">
        <v>810</v>
      </c>
      <c r="C25" s="61" t="s">
        <v>132</v>
      </c>
      <c r="D25" s="61" t="s">
        <v>34</v>
      </c>
      <c r="E25" s="61" t="s">
        <v>35</v>
      </c>
      <c r="F25" s="62">
        <v>470624292</v>
      </c>
      <c r="G25" s="61">
        <v>36</v>
      </c>
      <c r="H25" s="61" t="s">
        <v>134</v>
      </c>
      <c r="I25" s="61" t="s">
        <v>135</v>
      </c>
      <c r="J25" s="61" t="s">
        <v>136</v>
      </c>
      <c r="K25" s="61" t="s">
        <v>133</v>
      </c>
      <c r="L25" s="61" t="s">
        <v>1029</v>
      </c>
      <c r="M25" s="61" t="s">
        <v>1547</v>
      </c>
      <c r="N25" s="61"/>
      <c r="O25" s="61" t="s">
        <v>137</v>
      </c>
      <c r="P25" s="63">
        <v>465129465</v>
      </c>
    </row>
    <row r="26" spans="1:16" hidden="1">
      <c r="A26" t="str">
        <f>_xlfn.XLOOKUP(P26,Calls!L:L,Calls!B:B)</f>
        <v>MARGUERITE CASEY FOUNDATION</v>
      </c>
      <c r="B26" s="57" t="s">
        <v>810</v>
      </c>
      <c r="C26" s="58" t="s">
        <v>322</v>
      </c>
      <c r="D26" s="58" t="s">
        <v>143</v>
      </c>
      <c r="E26" s="58" t="s">
        <v>35</v>
      </c>
      <c r="F26" s="59">
        <v>856573767</v>
      </c>
      <c r="G26" s="58">
        <v>35</v>
      </c>
      <c r="H26" s="58" t="s">
        <v>324</v>
      </c>
      <c r="I26" s="58" t="s">
        <v>274</v>
      </c>
      <c r="J26" s="58" t="s">
        <v>325</v>
      </c>
      <c r="K26" s="58" t="s">
        <v>323</v>
      </c>
      <c r="L26" s="58" t="s">
        <v>1548</v>
      </c>
      <c r="M26" s="58" t="s">
        <v>1549</v>
      </c>
      <c r="N26" s="58"/>
      <c r="O26" s="58" t="s">
        <v>326</v>
      </c>
      <c r="P26" s="60">
        <v>912062197</v>
      </c>
    </row>
    <row r="27" spans="1:16" hidden="1">
      <c r="A27" t="str">
        <f>_xlfn.XLOOKUP(P27,Calls!L:L,Calls!B:B)</f>
        <v>The Satterberg Foundation</v>
      </c>
      <c r="B27" s="57" t="s">
        <v>810</v>
      </c>
      <c r="C27" s="61" t="s">
        <v>752</v>
      </c>
      <c r="D27" s="61" t="s">
        <v>143</v>
      </c>
      <c r="E27" s="61" t="s">
        <v>35</v>
      </c>
      <c r="F27" s="62">
        <v>443335399</v>
      </c>
      <c r="G27" s="61">
        <v>32</v>
      </c>
      <c r="H27" s="61" t="s">
        <v>489</v>
      </c>
      <c r="I27" s="61" t="s">
        <v>142</v>
      </c>
      <c r="J27" s="61" t="s">
        <v>490</v>
      </c>
      <c r="K27" s="61" t="s">
        <v>488</v>
      </c>
      <c r="L27" s="61" t="s">
        <v>1049</v>
      </c>
      <c r="M27" s="61" t="s">
        <v>1550</v>
      </c>
      <c r="N27" s="61"/>
      <c r="O27" s="61" t="s">
        <v>753</v>
      </c>
      <c r="P27" s="63">
        <v>911501066</v>
      </c>
    </row>
    <row r="28" spans="1:16">
      <c r="A28" t="str">
        <f>_xlfn.XLOOKUP(P28,Calls!L:L,Calls!B:B)</f>
        <v>Hughes Charitable Foundation</v>
      </c>
      <c r="B28" s="57" t="s">
        <v>810</v>
      </c>
      <c r="C28" s="58" t="s">
        <v>698</v>
      </c>
      <c r="D28" s="58" t="s">
        <v>1551</v>
      </c>
      <c r="E28" s="58" t="s">
        <v>114</v>
      </c>
      <c r="F28" s="59">
        <v>6285282</v>
      </c>
      <c r="G28" s="58">
        <v>32</v>
      </c>
      <c r="H28" s="58" t="s">
        <v>699</v>
      </c>
      <c r="I28" s="58" t="s">
        <v>700</v>
      </c>
      <c r="J28" s="58"/>
      <c r="K28" s="58"/>
      <c r="L28" s="58" t="s">
        <v>1552</v>
      </c>
      <c r="M28" s="58" t="s">
        <v>1553</v>
      </c>
      <c r="N28" s="58" t="s">
        <v>701</v>
      </c>
      <c r="O28" s="58" t="s">
        <v>1554</v>
      </c>
      <c r="P28" s="60">
        <v>853683086</v>
      </c>
    </row>
    <row r="29" spans="1:16">
      <c r="A29" t="str">
        <f>_xlfn.XLOOKUP(P29,Calls!L:L,Calls!B:B)</f>
        <v>CLIF FAMILY FOUNDATION</v>
      </c>
      <c r="B29" s="57" t="s">
        <v>810</v>
      </c>
      <c r="C29" s="61" t="s">
        <v>649</v>
      </c>
      <c r="D29" s="61" t="s">
        <v>34</v>
      </c>
      <c r="E29" s="61" t="s">
        <v>35</v>
      </c>
      <c r="F29" s="62">
        <v>563707533</v>
      </c>
      <c r="G29" s="61">
        <v>31</v>
      </c>
      <c r="H29" s="61"/>
      <c r="I29" s="61"/>
      <c r="J29" s="61" t="s">
        <v>651</v>
      </c>
      <c r="K29" s="61" t="s">
        <v>650</v>
      </c>
      <c r="L29" s="61"/>
      <c r="M29" s="61" t="s">
        <v>1555</v>
      </c>
      <c r="N29" s="61" t="s">
        <v>652</v>
      </c>
      <c r="O29" s="61" t="s">
        <v>1556</v>
      </c>
      <c r="P29" s="63">
        <v>204345935</v>
      </c>
    </row>
    <row r="30" spans="1:16" hidden="1">
      <c r="A30" t="str">
        <f>_xlfn.XLOOKUP(P30,Calls!L:L,Calls!B:B)</f>
        <v>STUPSKI FOUNDATION</v>
      </c>
      <c r="B30" s="57" t="s">
        <v>810</v>
      </c>
      <c r="C30" s="58" t="s">
        <v>410</v>
      </c>
      <c r="D30" s="58" t="s">
        <v>34</v>
      </c>
      <c r="E30" s="58" t="s">
        <v>35</v>
      </c>
      <c r="F30" s="59">
        <v>223687249</v>
      </c>
      <c r="G30" s="58">
        <v>31</v>
      </c>
      <c r="H30" s="58" t="s">
        <v>1557</v>
      </c>
      <c r="I30" s="58" t="s">
        <v>1558</v>
      </c>
      <c r="J30" s="58" t="s">
        <v>1559</v>
      </c>
      <c r="K30" s="58" t="s">
        <v>411</v>
      </c>
      <c r="L30" s="58"/>
      <c r="M30" s="58" t="s">
        <v>1560</v>
      </c>
      <c r="N30" s="58" t="s">
        <v>414</v>
      </c>
      <c r="O30" s="58" t="s">
        <v>1561</v>
      </c>
      <c r="P30" s="60">
        <v>680397103</v>
      </c>
    </row>
    <row r="31" spans="1:16" hidden="1">
      <c r="A31" t="str">
        <f>_xlfn.XLOOKUP(P31,Calls!L:L,Calls!B:B)</f>
        <v>HEADWATERS HEALTH FOUNDATION</v>
      </c>
      <c r="B31" s="57" t="s">
        <v>810</v>
      </c>
      <c r="C31" s="61" t="s">
        <v>109</v>
      </c>
      <c r="D31" s="61" t="s">
        <v>113</v>
      </c>
      <c r="E31" s="61" t="s">
        <v>114</v>
      </c>
      <c r="F31" s="62">
        <v>123719137</v>
      </c>
      <c r="G31" s="61">
        <v>29</v>
      </c>
      <c r="H31" s="61" t="s">
        <v>111</v>
      </c>
      <c r="I31" s="61" t="s">
        <v>112</v>
      </c>
      <c r="J31" s="61"/>
      <c r="K31" s="61"/>
      <c r="L31" s="61"/>
      <c r="M31" s="61" t="s">
        <v>1562</v>
      </c>
      <c r="N31" s="61"/>
      <c r="O31" s="61" t="s">
        <v>115</v>
      </c>
      <c r="P31" s="63">
        <v>811099715</v>
      </c>
    </row>
    <row r="32" spans="1:16">
      <c r="A32" t="str">
        <f>_xlfn.XLOOKUP(P32,Calls!L:L,Calls!B:B)</f>
        <v>WALTER AND ELISE HAAS FUND</v>
      </c>
      <c r="B32" s="57" t="s">
        <v>810</v>
      </c>
      <c r="C32" s="58" t="s">
        <v>784</v>
      </c>
      <c r="D32" s="58" t="s">
        <v>34</v>
      </c>
      <c r="E32" s="58" t="s">
        <v>35</v>
      </c>
      <c r="F32" s="59">
        <v>252512662</v>
      </c>
      <c r="G32" s="58">
        <v>28</v>
      </c>
      <c r="H32" s="58" t="s">
        <v>786</v>
      </c>
      <c r="I32" s="58" t="s">
        <v>142</v>
      </c>
      <c r="J32" s="58"/>
      <c r="K32" s="58" t="s">
        <v>785</v>
      </c>
      <c r="L32" s="58" t="s">
        <v>1563</v>
      </c>
      <c r="M32" s="58" t="s">
        <v>1564</v>
      </c>
      <c r="N32" s="58" t="s">
        <v>787</v>
      </c>
      <c r="O32" s="58" t="s">
        <v>1565</v>
      </c>
      <c r="P32" s="60">
        <v>946068564</v>
      </c>
    </row>
    <row r="33" spans="1:16" hidden="1">
      <c r="A33" t="str">
        <f>_xlfn.XLOOKUP(P33,Calls!L:L,Calls!B:B)</f>
        <v>KEN BIRDWELL FOUNDATION</v>
      </c>
      <c r="B33" s="57" t="s">
        <v>810</v>
      </c>
      <c r="C33" s="61" t="s">
        <v>702</v>
      </c>
      <c r="D33" s="61" t="s">
        <v>143</v>
      </c>
      <c r="E33" s="61" t="s">
        <v>35</v>
      </c>
      <c r="F33" s="62">
        <v>100008103</v>
      </c>
      <c r="G33" s="61">
        <v>20</v>
      </c>
      <c r="H33" s="61" t="s">
        <v>704</v>
      </c>
      <c r="I33" s="61" t="s">
        <v>705</v>
      </c>
      <c r="J33" s="61" t="s">
        <v>706</v>
      </c>
      <c r="K33" s="61"/>
      <c r="L33" s="61" t="s">
        <v>1566</v>
      </c>
      <c r="M33" s="61" t="s">
        <v>1567</v>
      </c>
      <c r="N33" s="61" t="s">
        <v>1568</v>
      </c>
      <c r="O33" s="61" t="s">
        <v>707</v>
      </c>
      <c r="P33" s="63">
        <v>825328231</v>
      </c>
    </row>
    <row r="34" spans="1:16" hidden="1">
      <c r="A34" t="str">
        <f>_xlfn.XLOOKUP(P34,Calls!L:L,Calls!B:B)</f>
        <v>SWIFT FOUNDATION</v>
      </c>
      <c r="B34" s="64" t="s">
        <v>823</v>
      </c>
      <c r="C34" s="58" t="s">
        <v>415</v>
      </c>
      <c r="D34" s="58" t="s">
        <v>34</v>
      </c>
      <c r="E34" s="58" t="s">
        <v>35</v>
      </c>
      <c r="F34" s="59">
        <v>51631550</v>
      </c>
      <c r="G34" s="58"/>
      <c r="H34" s="58"/>
      <c r="I34" s="58"/>
      <c r="J34" s="58"/>
      <c r="K34" s="58"/>
      <c r="L34" s="58"/>
      <c r="M34" s="58"/>
      <c r="N34" s="58" t="s">
        <v>418</v>
      </c>
      <c r="O34" s="58" t="s">
        <v>1569</v>
      </c>
      <c r="P34" s="60">
        <v>770559600</v>
      </c>
    </row>
    <row r="35" spans="1:16">
      <c r="A35" t="str">
        <f>_xlfn.XLOOKUP(P35,Calls!L:L,Calls!B:B)</f>
        <v>THE GAP FOUNDATION</v>
      </c>
      <c r="B35" s="64" t="s">
        <v>823</v>
      </c>
      <c r="C35" s="61" t="s">
        <v>742</v>
      </c>
      <c r="D35" s="61" t="s">
        <v>34</v>
      </c>
      <c r="E35" s="61" t="s">
        <v>35</v>
      </c>
      <c r="F35" s="62">
        <v>4777763</v>
      </c>
      <c r="G35" s="61">
        <v>250</v>
      </c>
      <c r="H35" s="61" t="s">
        <v>744</v>
      </c>
      <c r="I35" s="81" t="s">
        <v>745</v>
      </c>
      <c r="J35" s="81"/>
      <c r="K35" s="61" t="s">
        <v>743</v>
      </c>
      <c r="L35" s="61"/>
      <c r="M35" s="61" t="s">
        <v>1570</v>
      </c>
      <c r="N35" s="61" t="s">
        <v>746</v>
      </c>
      <c r="O35" s="61" t="s">
        <v>1571</v>
      </c>
      <c r="P35" s="63">
        <v>942474426</v>
      </c>
    </row>
    <row r="36" spans="1:16">
      <c r="A36" t="str">
        <f>_xlfn.XLOOKUP(P36,Calls!L:L,Calls!B:B)</f>
        <v>LAMB WESTON CHARITABLE FOUNDATION</v>
      </c>
      <c r="B36" s="64" t="s">
        <v>823</v>
      </c>
      <c r="C36" s="58" t="s">
        <v>713</v>
      </c>
      <c r="D36" s="58" t="s">
        <v>1572</v>
      </c>
      <c r="E36" s="58" t="s">
        <v>114</v>
      </c>
      <c r="F36" s="59">
        <v>13539943</v>
      </c>
      <c r="G36" s="58">
        <v>161</v>
      </c>
      <c r="H36" s="58" t="s">
        <v>715</v>
      </c>
      <c r="I36" s="58" t="s">
        <v>716</v>
      </c>
      <c r="J36" s="58"/>
      <c r="K36" s="58" t="s">
        <v>714</v>
      </c>
      <c r="L36" s="58"/>
      <c r="M36" s="58"/>
      <c r="N36" s="58" t="s">
        <v>717</v>
      </c>
      <c r="O36" s="58" t="s">
        <v>1573</v>
      </c>
      <c r="P36" s="60">
        <v>830562671</v>
      </c>
    </row>
    <row r="37" spans="1:16" hidden="1">
      <c r="A37" t="str">
        <f>_xlfn.XLOOKUP(P37,Calls!L:L,Calls!B:B)</f>
        <v>The William &amp; Flora Hewlett Foundation</v>
      </c>
      <c r="B37" s="64" t="s">
        <v>823</v>
      </c>
      <c r="C37" s="61" t="s">
        <v>1574</v>
      </c>
      <c r="D37" s="61" t="s">
        <v>34</v>
      </c>
      <c r="E37" s="61" t="s">
        <v>35</v>
      </c>
      <c r="F37" s="62">
        <v>13332174215</v>
      </c>
      <c r="G37" s="61">
        <v>139</v>
      </c>
      <c r="H37" s="61" t="s">
        <v>891</v>
      </c>
      <c r="I37" s="61" t="s">
        <v>892</v>
      </c>
      <c r="J37" s="61" t="s">
        <v>893</v>
      </c>
      <c r="K37" s="61" t="s">
        <v>894</v>
      </c>
      <c r="L37" s="61" t="s">
        <v>968</v>
      </c>
      <c r="M37" s="61" t="s">
        <v>1575</v>
      </c>
      <c r="N37" s="61"/>
      <c r="O37" s="61" t="s">
        <v>969</v>
      </c>
      <c r="P37" s="63">
        <v>941655673</v>
      </c>
    </row>
    <row r="38" spans="1:16">
      <c r="A38" t="str">
        <f>_xlfn.XLOOKUP(P38,Calls!L:L,Calls!B:B)</f>
        <v>The Yelp Foundation</v>
      </c>
      <c r="B38" s="64" t="s">
        <v>823</v>
      </c>
      <c r="C38" s="58" t="s">
        <v>764</v>
      </c>
      <c r="D38" s="58" t="s">
        <v>34</v>
      </c>
      <c r="E38" s="58" t="s">
        <v>35</v>
      </c>
      <c r="F38" s="59">
        <v>8560195</v>
      </c>
      <c r="G38" s="58">
        <v>83</v>
      </c>
      <c r="H38" s="58" t="s">
        <v>765</v>
      </c>
      <c r="I38" s="58" t="s">
        <v>766</v>
      </c>
      <c r="J38" s="58" t="s">
        <v>767</v>
      </c>
      <c r="K38" s="58"/>
      <c r="L38" s="58"/>
      <c r="M38" s="58" t="s">
        <v>1576</v>
      </c>
      <c r="N38" s="58" t="s">
        <v>768</v>
      </c>
      <c r="O38" s="58" t="s">
        <v>1577</v>
      </c>
      <c r="P38" s="60">
        <v>454001403</v>
      </c>
    </row>
    <row r="39" spans="1:16">
      <c r="A39" t="str">
        <f>_xlfn.XLOOKUP(P39,Calls!L:L,Calls!B:B)</f>
        <v>Umpqua Bank Charitable Foundation</v>
      </c>
      <c r="B39" s="64" t="s">
        <v>823</v>
      </c>
      <c r="C39" s="61" t="s">
        <v>774</v>
      </c>
      <c r="D39" s="61" t="s">
        <v>336</v>
      </c>
      <c r="E39" s="61" t="s">
        <v>35</v>
      </c>
      <c r="F39" s="62">
        <v>16830197</v>
      </c>
      <c r="G39" s="61">
        <v>56</v>
      </c>
      <c r="H39" s="61" t="s">
        <v>776</v>
      </c>
      <c r="I39" s="61" t="s">
        <v>777</v>
      </c>
      <c r="J39" s="61" t="s">
        <v>778</v>
      </c>
      <c r="K39" s="61" t="s">
        <v>775</v>
      </c>
      <c r="L39" s="61"/>
      <c r="M39" s="61" t="s">
        <v>1578</v>
      </c>
      <c r="N39" s="61" t="s">
        <v>779</v>
      </c>
      <c r="O39" s="61" t="s">
        <v>1579</v>
      </c>
      <c r="P39" s="63">
        <v>471247608</v>
      </c>
    </row>
    <row r="40" spans="1:16">
      <c r="A40" t="str">
        <f>_xlfn.XLOOKUP(P40,Calls!L:L,Calls!B:B)</f>
        <v>NV Energy Charitable Foundation</v>
      </c>
      <c r="B40" s="64" t="s">
        <v>823</v>
      </c>
      <c r="C40" s="58" t="s">
        <v>732</v>
      </c>
      <c r="D40" s="58" t="s">
        <v>1580</v>
      </c>
      <c r="E40" s="58" t="s">
        <v>35</v>
      </c>
      <c r="F40" s="59">
        <v>33071128</v>
      </c>
      <c r="G40" s="58">
        <v>40</v>
      </c>
      <c r="H40" s="58" t="s">
        <v>734</v>
      </c>
      <c r="I40" s="58" t="s">
        <v>735</v>
      </c>
      <c r="J40" s="58" t="s">
        <v>736</v>
      </c>
      <c r="K40" s="58" t="s">
        <v>733</v>
      </c>
      <c r="L40" s="58"/>
      <c r="M40" s="58"/>
      <c r="N40" s="58" t="s">
        <v>737</v>
      </c>
      <c r="O40" s="58" t="s">
        <v>1581</v>
      </c>
      <c r="P40" s="60">
        <v>880244735</v>
      </c>
    </row>
    <row r="41" spans="1:16">
      <c r="A41" t="str">
        <f>_xlfn.XLOOKUP(P41,Calls!L:L,Calls!B:B)</f>
        <v>NAMES FAMILY FOUNDATION</v>
      </c>
      <c r="B41" s="64" t="s">
        <v>823</v>
      </c>
      <c r="C41" s="61" t="s">
        <v>728</v>
      </c>
      <c r="D41" s="61" t="s">
        <v>143</v>
      </c>
      <c r="E41" s="61" t="s">
        <v>35</v>
      </c>
      <c r="F41" s="62">
        <v>159866686</v>
      </c>
      <c r="G41" s="61">
        <v>36</v>
      </c>
      <c r="H41" s="61" t="s">
        <v>730</v>
      </c>
      <c r="I41" s="61" t="s">
        <v>142</v>
      </c>
      <c r="J41" s="61"/>
      <c r="K41" s="61" t="s">
        <v>729</v>
      </c>
      <c r="L41" s="61" t="s">
        <v>1582</v>
      </c>
      <c r="M41" s="61" t="s">
        <v>1583</v>
      </c>
      <c r="N41" s="61" t="s">
        <v>731</v>
      </c>
      <c r="O41" s="61" t="s">
        <v>1584</v>
      </c>
      <c r="P41" s="63">
        <v>943250195</v>
      </c>
    </row>
    <row r="42" spans="1:16">
      <c r="A42" t="str">
        <f>_xlfn.XLOOKUP(P42,Calls!L:L,Calls!B:B)</f>
        <v>CRANKSTART FOUNDATION</v>
      </c>
      <c r="B42" s="64" t="s">
        <v>823</v>
      </c>
      <c r="C42" s="58" t="s">
        <v>664</v>
      </c>
      <c r="D42" s="58" t="s">
        <v>34</v>
      </c>
      <c r="E42" s="58" t="s">
        <v>35</v>
      </c>
      <c r="F42" s="59">
        <v>3909004192</v>
      </c>
      <c r="G42" s="58">
        <v>34</v>
      </c>
      <c r="H42" s="58" t="s">
        <v>665</v>
      </c>
      <c r="I42" s="58" t="s">
        <v>666</v>
      </c>
      <c r="J42" s="58" t="s">
        <v>667</v>
      </c>
      <c r="K42" s="58"/>
      <c r="L42" s="58" t="s">
        <v>1585</v>
      </c>
      <c r="M42" s="58" t="s">
        <v>1586</v>
      </c>
      <c r="N42" s="58" t="s">
        <v>668</v>
      </c>
      <c r="O42" s="58" t="s">
        <v>1587</v>
      </c>
      <c r="P42" s="60">
        <v>943377099</v>
      </c>
    </row>
    <row r="43" spans="1:16">
      <c r="A43" t="str">
        <f>_xlfn.XLOOKUP(P43,Calls!L:L,Calls!B:B)</f>
        <v>Vincent C and Pamela A Immordino</v>
      </c>
      <c r="B43" s="64" t="s">
        <v>823</v>
      </c>
      <c r="C43" s="61" t="s">
        <v>780</v>
      </c>
      <c r="D43" s="61" t="s">
        <v>1580</v>
      </c>
      <c r="E43" s="61" t="s">
        <v>35</v>
      </c>
      <c r="F43" s="62">
        <v>20753871</v>
      </c>
      <c r="G43" s="61">
        <v>31</v>
      </c>
      <c r="H43" s="61" t="s">
        <v>781</v>
      </c>
      <c r="I43" s="61" t="s">
        <v>782</v>
      </c>
      <c r="J43" s="61"/>
      <c r="K43" s="61"/>
      <c r="L43" s="61"/>
      <c r="M43" s="61"/>
      <c r="N43" s="61" t="s">
        <v>783</v>
      </c>
      <c r="O43" s="61" t="s">
        <v>1588</v>
      </c>
      <c r="P43" s="63">
        <v>812727904</v>
      </c>
    </row>
    <row r="44" spans="1:16">
      <c r="A44" t="str">
        <f>_xlfn.XLOOKUP(P44,Calls!L:L,Calls!B:B)</f>
        <v>THE STEVE MIHAYLO AND LOIS MIHAYLO</v>
      </c>
      <c r="B44" s="64" t="s">
        <v>823</v>
      </c>
      <c r="C44" s="58" t="s">
        <v>759</v>
      </c>
      <c r="D44" s="58" t="s">
        <v>1589</v>
      </c>
      <c r="E44" s="58" t="s">
        <v>114</v>
      </c>
      <c r="F44" s="59">
        <v>8207067</v>
      </c>
      <c r="G44" s="58">
        <v>31</v>
      </c>
      <c r="H44" s="58" t="s">
        <v>761</v>
      </c>
      <c r="I44" s="58" t="s">
        <v>762</v>
      </c>
      <c r="J44" s="58"/>
      <c r="K44" s="58" t="s">
        <v>760</v>
      </c>
      <c r="L44" s="58"/>
      <c r="M44" s="58" t="s">
        <v>1590</v>
      </c>
      <c r="N44" s="58" t="s">
        <v>763</v>
      </c>
      <c r="O44" s="58" t="s">
        <v>1591</v>
      </c>
      <c r="P44" s="60">
        <v>880457469</v>
      </c>
    </row>
    <row r="45" spans="1:16">
      <c r="A45" t="str">
        <f>_xlfn.XLOOKUP(P45,Calls!L:L,Calls!B:B)</f>
        <v>THE SOBRATO FAMILY FOUNDATION</v>
      </c>
      <c r="B45" s="64" t="s">
        <v>823</v>
      </c>
      <c r="C45" s="61" t="s">
        <v>754</v>
      </c>
      <c r="D45" s="61" t="s">
        <v>34</v>
      </c>
      <c r="E45" s="61" t="s">
        <v>35</v>
      </c>
      <c r="F45" s="62">
        <v>876730998</v>
      </c>
      <c r="G45" s="61">
        <v>30</v>
      </c>
      <c r="H45" s="61" t="s">
        <v>756</v>
      </c>
      <c r="I45" s="61" t="s">
        <v>757</v>
      </c>
      <c r="J45" s="61"/>
      <c r="K45" s="61" t="s">
        <v>755</v>
      </c>
      <c r="L45" s="61"/>
      <c r="M45" s="61" t="s">
        <v>1592</v>
      </c>
      <c r="N45" s="61" t="s">
        <v>758</v>
      </c>
      <c r="O45" s="61" t="s">
        <v>1593</v>
      </c>
      <c r="P45" s="63">
        <v>770348912</v>
      </c>
    </row>
    <row r="46" spans="1:16">
      <c r="A46" t="str">
        <f>_xlfn.XLOOKUP(P46,Calls!L:L,Calls!B:B)</f>
        <v>EDWARDS LIFESCIENCES FOUNDATION</v>
      </c>
      <c r="B46" s="64" t="s">
        <v>823</v>
      </c>
      <c r="C46" s="58" t="s">
        <v>669</v>
      </c>
      <c r="D46" s="58" t="s">
        <v>34</v>
      </c>
      <c r="E46" s="58" t="s">
        <v>35</v>
      </c>
      <c r="F46" s="59">
        <v>56296533</v>
      </c>
      <c r="G46" s="58">
        <v>28</v>
      </c>
      <c r="H46" s="58" t="s">
        <v>671</v>
      </c>
      <c r="I46" s="58" t="s">
        <v>672</v>
      </c>
      <c r="J46" s="58"/>
      <c r="K46" s="58" t="s">
        <v>670</v>
      </c>
      <c r="L46" s="58"/>
      <c r="M46" s="58" t="s">
        <v>1594</v>
      </c>
      <c r="N46" s="58" t="s">
        <v>673</v>
      </c>
      <c r="O46" s="58" t="s">
        <v>1595</v>
      </c>
      <c r="P46" s="60">
        <v>461702755</v>
      </c>
    </row>
    <row r="47" spans="1:16">
      <c r="A47" t="str">
        <f>_xlfn.XLOOKUP(P47,Calls!L:L,Calls!B:B)</f>
        <v>CASEY FAMILY PROGRAMS</v>
      </c>
      <c r="B47" s="64" t="s">
        <v>823</v>
      </c>
      <c r="C47" s="61" t="s">
        <v>640</v>
      </c>
      <c r="D47" s="61" t="s">
        <v>143</v>
      </c>
      <c r="E47" s="61" t="s">
        <v>35</v>
      </c>
      <c r="F47" s="62">
        <v>2637089778</v>
      </c>
      <c r="G47" s="61">
        <v>27</v>
      </c>
      <c r="H47" s="61" t="s">
        <v>642</v>
      </c>
      <c r="I47" s="61" t="s">
        <v>274</v>
      </c>
      <c r="J47" s="61"/>
      <c r="K47" s="61" t="s">
        <v>641</v>
      </c>
      <c r="L47" s="61" t="s">
        <v>1596</v>
      </c>
      <c r="M47" s="61" t="s">
        <v>1597</v>
      </c>
      <c r="N47" s="61"/>
      <c r="O47" s="61" t="s">
        <v>1598</v>
      </c>
      <c r="P47" s="63">
        <v>910793881</v>
      </c>
    </row>
    <row r="48" spans="1:16">
      <c r="A48" t="str">
        <f>_xlfn.XLOOKUP(P48,Calls!L:L,Calls!B:B)</f>
        <v>KENNETH RAININ FOUNDATION</v>
      </c>
      <c r="B48" s="64" t="s">
        <v>823</v>
      </c>
      <c r="C48" s="58" t="s">
        <v>708</v>
      </c>
      <c r="D48" s="58" t="s">
        <v>34</v>
      </c>
      <c r="E48" s="58" t="s">
        <v>35</v>
      </c>
      <c r="F48" s="59">
        <v>614668063</v>
      </c>
      <c r="G48" s="58">
        <v>27</v>
      </c>
      <c r="H48" s="58" t="s">
        <v>710</v>
      </c>
      <c r="I48" s="58" t="s">
        <v>711</v>
      </c>
      <c r="J48" s="58"/>
      <c r="K48" s="58" t="s">
        <v>709</v>
      </c>
      <c r="L48" s="58"/>
      <c r="M48" s="58" t="s">
        <v>1599</v>
      </c>
      <c r="N48" s="58" t="s">
        <v>712</v>
      </c>
      <c r="O48" s="58" t="s">
        <v>1600</v>
      </c>
      <c r="P48" s="60">
        <v>943289283</v>
      </c>
    </row>
    <row r="49" spans="1:16">
      <c r="A49" t="str">
        <f>_xlfn.XLOOKUP(P49,Calls!L:L,Calls!B:B)</f>
        <v>THE ZELLERBACH FAMILY FOUNDATION</v>
      </c>
      <c r="B49" s="64" t="s">
        <v>823</v>
      </c>
      <c r="C49" s="61" t="s">
        <v>769</v>
      </c>
      <c r="D49" s="61" t="s">
        <v>34</v>
      </c>
      <c r="E49" s="61" t="s">
        <v>35</v>
      </c>
      <c r="F49" s="62">
        <v>160251196</v>
      </c>
      <c r="G49" s="61">
        <v>24</v>
      </c>
      <c r="H49" s="61" t="s">
        <v>771</v>
      </c>
      <c r="I49" s="61" t="s">
        <v>771</v>
      </c>
      <c r="J49" s="61" t="s">
        <v>772</v>
      </c>
      <c r="K49" s="61" t="s">
        <v>770</v>
      </c>
      <c r="L49" s="61"/>
      <c r="M49" s="61" t="s">
        <v>1601</v>
      </c>
      <c r="N49" s="61" t="s">
        <v>773</v>
      </c>
      <c r="O49" s="61" t="s">
        <v>1602</v>
      </c>
      <c r="P49" s="63">
        <v>946069482</v>
      </c>
    </row>
    <row r="50" spans="1:16">
      <c r="A50" t="str">
        <f>_xlfn.XLOOKUP(P50,Calls!L:L,Calls!B:B)</f>
        <v>HN and Frances C Berger Foundation</v>
      </c>
      <c r="B50" s="64" t="s">
        <v>823</v>
      </c>
      <c r="C50" s="58" t="s">
        <v>694</v>
      </c>
      <c r="D50" s="58" t="s">
        <v>34</v>
      </c>
      <c r="E50" s="58" t="s">
        <v>35</v>
      </c>
      <c r="F50" s="59">
        <v>489101990</v>
      </c>
      <c r="G50" s="58">
        <v>23</v>
      </c>
      <c r="H50" s="58" t="s">
        <v>695</v>
      </c>
      <c r="I50" s="58" t="s">
        <v>696</v>
      </c>
      <c r="J50" s="58"/>
      <c r="K50" s="58"/>
      <c r="L50" s="58"/>
      <c r="M50" s="58" t="s">
        <v>1603</v>
      </c>
      <c r="N50" s="58" t="s">
        <v>697</v>
      </c>
      <c r="O50" s="58" t="s">
        <v>1604</v>
      </c>
      <c r="P50" s="60">
        <v>521757452</v>
      </c>
    </row>
    <row r="51" spans="1:16">
      <c r="A51" t="str">
        <f>_xlfn.XLOOKUP(P51,Calls!L:L,Calls!B:B)</f>
        <v>ANDERSON CHILDRENS FOUNDATION</v>
      </c>
      <c r="B51" s="64" t="s">
        <v>823</v>
      </c>
      <c r="C51" s="61" t="s">
        <v>627</v>
      </c>
      <c r="D51" s="61" t="s">
        <v>34</v>
      </c>
      <c r="E51" s="61" t="s">
        <v>35</v>
      </c>
      <c r="F51" s="62">
        <v>25287510</v>
      </c>
      <c r="G51" s="61">
        <v>23</v>
      </c>
      <c r="H51" s="61" t="s">
        <v>629</v>
      </c>
      <c r="I51" s="61" t="s">
        <v>630</v>
      </c>
      <c r="J51" s="61" t="s">
        <v>631</v>
      </c>
      <c r="K51" s="61" t="s">
        <v>628</v>
      </c>
      <c r="L51" s="61"/>
      <c r="M51" s="61" t="s">
        <v>1605</v>
      </c>
      <c r="N51" s="61" t="s">
        <v>632</v>
      </c>
      <c r="O51" s="61" t="s">
        <v>1606</v>
      </c>
      <c r="P51" s="63">
        <v>237089096</v>
      </c>
    </row>
    <row r="52" spans="1:16">
      <c r="A52" t="str">
        <f>_xlfn.XLOOKUP(P52,Calls!L:L,Calls!B:B)</f>
        <v>MAPS COMMUNITY FOUNDATION</v>
      </c>
      <c r="B52" s="64" t="s">
        <v>823</v>
      </c>
      <c r="C52" s="58" t="s">
        <v>718</v>
      </c>
      <c r="D52" s="58" t="s">
        <v>336</v>
      </c>
      <c r="E52" s="58" t="s">
        <v>35</v>
      </c>
      <c r="F52" s="59">
        <v>4307884</v>
      </c>
      <c r="G52" s="58">
        <v>21</v>
      </c>
      <c r="H52" s="58" t="s">
        <v>720</v>
      </c>
      <c r="I52" s="58" t="s">
        <v>721</v>
      </c>
      <c r="J52" s="58" t="s">
        <v>722</v>
      </c>
      <c r="K52" s="58" t="s">
        <v>719</v>
      </c>
      <c r="L52" s="58"/>
      <c r="M52" s="58" t="s">
        <v>1607</v>
      </c>
      <c r="N52" s="58" t="s">
        <v>723</v>
      </c>
      <c r="O52" s="58" t="s">
        <v>1608</v>
      </c>
      <c r="P52" s="60">
        <v>450705509</v>
      </c>
    </row>
  </sheetData>
  <autoFilter ref="A3:P52" xr:uid="{4DCEFFE1-6CBF-4B6C-9E21-CBC24963417F}">
    <filterColumn colId="0">
      <filters>
        <filter val="#N/A"/>
      </filters>
    </filterColumn>
  </autoFilter>
  <mergeCells count="1">
    <mergeCell ref="I35:J3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A4055-F725-4A75-AE47-B0DCAD7B3980}">
  <dimension ref="B3:C19"/>
  <sheetViews>
    <sheetView workbookViewId="0">
      <selection activeCell="F12" sqref="F12"/>
    </sheetView>
  </sheetViews>
  <sheetFormatPr defaultRowHeight="15"/>
  <sheetData>
    <row r="3" spans="2:3" ht="16.5">
      <c r="B3" s="15">
        <v>562618866</v>
      </c>
      <c r="C3">
        <v>1</v>
      </c>
    </row>
    <row r="4" spans="2:3" ht="16.5">
      <c r="B4" s="15">
        <v>383237572</v>
      </c>
      <c r="C4">
        <v>2</v>
      </c>
    </row>
    <row r="5" spans="2:3" ht="16.5">
      <c r="B5" s="15">
        <v>611583546</v>
      </c>
      <c r="C5">
        <v>3</v>
      </c>
    </row>
    <row r="6" spans="2:3" ht="16.5">
      <c r="B6" s="15">
        <v>470805015</v>
      </c>
      <c r="C6">
        <v>4</v>
      </c>
    </row>
    <row r="7" spans="2:3" ht="16.5">
      <c r="B7" s="15">
        <v>680283878</v>
      </c>
      <c r="C7">
        <v>5</v>
      </c>
    </row>
    <row r="8" spans="2:3" ht="16.5">
      <c r="B8" s="15" t="s">
        <v>1609</v>
      </c>
      <c r="C8">
        <v>6</v>
      </c>
    </row>
    <row r="9" spans="2:3" ht="16.5">
      <c r="B9" s="15">
        <v>880389016</v>
      </c>
      <c r="C9">
        <v>7</v>
      </c>
    </row>
    <row r="10" spans="2:3" ht="16.5">
      <c r="B10" s="15">
        <v>910745225</v>
      </c>
      <c r="C10">
        <v>8</v>
      </c>
    </row>
    <row r="11" spans="2:3" ht="16.5">
      <c r="B11" s="15">
        <v>476017619</v>
      </c>
      <c r="C11">
        <v>9</v>
      </c>
    </row>
    <row r="12" spans="2:3" ht="16.5">
      <c r="B12" s="15">
        <v>912173492</v>
      </c>
      <c r="C12">
        <v>10</v>
      </c>
    </row>
    <row r="13" spans="2:3" ht="16.5">
      <c r="B13" s="15">
        <v>383521608</v>
      </c>
      <c r="C13">
        <v>11</v>
      </c>
    </row>
    <row r="14" spans="2:3" ht="16.5">
      <c r="B14" s="15">
        <v>943224234</v>
      </c>
      <c r="C14">
        <v>12</v>
      </c>
    </row>
    <row r="15" spans="2:3" ht="16.5">
      <c r="B15" s="15">
        <v>943085652</v>
      </c>
      <c r="C15">
        <v>13</v>
      </c>
    </row>
    <row r="16" spans="2:3" ht="16.5">
      <c r="B16" s="15">
        <v>476032365</v>
      </c>
      <c r="C16">
        <v>14</v>
      </c>
    </row>
    <row r="17" spans="2:3" ht="16.5">
      <c r="B17" s="15">
        <v>770559600</v>
      </c>
      <c r="C17">
        <v>15</v>
      </c>
    </row>
    <row r="18" spans="2:3" ht="16.5">
      <c r="B18" s="15">
        <v>134146467</v>
      </c>
      <c r="C18">
        <v>16</v>
      </c>
    </row>
    <row r="19" spans="2:3" ht="16.5">
      <c r="B19" s="15">
        <v>134146467</v>
      </c>
      <c r="C19">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2026-01-05T18:06:25Z</dcterms:created>
  <dcterms:modified xsi:type="dcterms:W3CDTF">2026-02-16T23:32:02Z</dcterms:modified>
  <cp:category/>
  <cp:contentStatus/>
</cp:coreProperties>
</file>