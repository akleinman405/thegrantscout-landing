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xmlns:mc="http://schemas.openxmlformats.org/markup-compatibility/2006">
    <mc:Choice Requires="x15">
      <x15ac:absPath xmlns:x15ac="http://schemas.microsoft.com/office/spreadsheetml/2010/11/ac" url="/Users/aleckleinman/Documents/TheGrantScout/"/>
    </mc:Choice>
  </mc:AlternateContent>
  <xr:revisionPtr revIDLastSave="0" documentId="13_ncr:1_{A8DEAD82-EEE0-3245-ABD0-ACC9078E84C5}" xr6:coauthVersionLast="47" xr6:coauthVersionMax="47" xr10:uidLastSave="{00000000-0000-0000-0000-000000000000}"/>
  <bookViews>
    <workbookView xWindow="140" yWindow="680" windowWidth="18960" windowHeight="19220" activeTab="2" xr2:uid="{00000000-000D-0000-FFFF-FFFF00000000}"/>
  </bookViews>
  <sheets>
    <sheet name="Dashboard" sheetId="9" r:id="rId1"/>
    <sheet name="To Do" sheetId="4" r:id="rId2"/>
    <sheet name="Sheet3" sheetId="11" r:id="rId3"/>
    <sheet name="Sheet1" sheetId="10" r:id="rId4"/>
    <sheet name="Beta Leads" sheetId="7" state="hidden" r:id="rId5"/>
    <sheet name="Sheet2" sheetId="8" state="hidden" r:id="rId6"/>
  </sheets>
  <definedNames>
    <definedName name="_xlnm._FilterDatabase" localSheetId="4" hidden="1">'Beta Leads'!$B$3:$N$28</definedName>
    <definedName name="_xlnm._FilterDatabase" localSheetId="1" hidden="1">'To Do'!$B$2:$H$179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7" i="4" l="1"/>
  <c r="C136" i="4"/>
  <c r="C118" i="4"/>
  <c r="C119" i="4"/>
  <c r="C123" i="4"/>
  <c r="C124" i="4"/>
  <c r="C120" i="4"/>
  <c r="C125" i="4"/>
  <c r="C126" i="4"/>
  <c r="C128" i="4"/>
  <c r="C130" i="4"/>
  <c r="C131" i="4"/>
  <c r="C121" i="4"/>
  <c r="C122" i="4"/>
  <c r="C127" i="4"/>
  <c r="C129" i="4"/>
  <c r="C132" i="4"/>
  <c r="C145" i="4"/>
  <c r="C146" i="4"/>
  <c r="C138" i="4"/>
  <c r="C139" i="4"/>
  <c r="C140" i="4"/>
  <c r="C134" i="4"/>
  <c r="C147" i="4"/>
  <c r="C148" i="4"/>
  <c r="C149" i="4"/>
  <c r="C143" i="4"/>
  <c r="C144" i="4"/>
  <c r="C135" i="4"/>
  <c r="C141" i="4"/>
  <c r="C142" i="4"/>
  <c r="C155" i="4"/>
  <c r="C109" i="4"/>
  <c r="C110" i="4"/>
  <c r="C111" i="4"/>
  <c r="C112" i="4"/>
  <c r="C113" i="4"/>
  <c r="C114" i="4"/>
  <c r="C115" i="4"/>
  <c r="C117" i="4"/>
  <c r="C116" i="4"/>
  <c r="C107" i="4"/>
  <c r="C108" i="4"/>
  <c r="C156" i="4"/>
  <c r="C133" i="4"/>
  <c r="C157" i="4"/>
  <c r="C158" i="4"/>
  <c r="C159" i="4"/>
  <c r="C160" i="4"/>
  <c r="C161" i="4"/>
  <c r="C162" i="4"/>
  <c r="C163" i="4"/>
  <c r="C164" i="4"/>
  <c r="C165" i="4"/>
  <c r="C36" i="4"/>
  <c r="C166" i="4"/>
  <c r="C167" i="4"/>
  <c r="C168" i="4"/>
  <c r="C169" i="4"/>
  <c r="C170" i="4"/>
  <c r="C171" i="4"/>
  <c r="C172" i="4"/>
  <c r="C173" i="4"/>
  <c r="C105" i="4"/>
  <c r="C103" i="4"/>
  <c r="C102" i="4"/>
  <c r="C101" i="4"/>
  <c r="C91" i="4"/>
  <c r="C90" i="4"/>
  <c r="C93" i="4"/>
  <c r="C85" i="4"/>
  <c r="C87" i="4"/>
  <c r="C86" i="4"/>
  <c r="C80" i="4"/>
  <c r="C98" i="4"/>
  <c r="C99" i="4"/>
  <c r="C100" i="4"/>
  <c r="C106" i="4"/>
  <c r="C104" i="4"/>
  <c r="C174" i="4"/>
  <c r="C97" i="4"/>
  <c r="C96" i="4"/>
  <c r="C81" i="4"/>
  <c r="C83" i="4"/>
  <c r="C82" i="4"/>
  <c r="C79" i="4"/>
  <c r="C94" i="4"/>
  <c r="C84" i="4"/>
  <c r="C88" i="4"/>
  <c r="C92" i="4"/>
  <c r="C95" i="4"/>
  <c r="C89" i="4"/>
  <c r="C70" i="4"/>
  <c r="C67" i="4"/>
  <c r="C66" i="4"/>
  <c r="C64" i="4"/>
  <c r="C69" i="4"/>
  <c r="C68" i="4"/>
  <c r="C65" i="4"/>
  <c r="C44" i="4"/>
  <c r="C63" i="4"/>
  <c r="C59" i="4"/>
  <c r="C62" i="4"/>
  <c r="C61" i="4"/>
  <c r="C56" i="4"/>
  <c r="C57" i="4"/>
  <c r="C52" i="4"/>
  <c r="C53" i="4"/>
  <c r="C54" i="4"/>
  <c r="C55" i="4"/>
  <c r="C58" i="4"/>
  <c r="C60" i="4"/>
  <c r="C50" i="4"/>
  <c r="C51" i="4"/>
  <c r="C71" i="4"/>
  <c r="C72" i="4"/>
  <c r="C75" i="4"/>
  <c r="C73" i="4"/>
  <c r="C12" i="4" l="1"/>
  <c r="C13" i="4"/>
  <c r="C14" i="4"/>
  <c r="C15" i="4"/>
  <c r="C16" i="4"/>
  <c r="C17" i="4"/>
  <c r="C18" i="4"/>
  <c r="C19" i="4"/>
  <c r="C20" i="4"/>
  <c r="C21" i="4"/>
  <c r="C22" i="4"/>
  <c r="C23" i="4"/>
  <c r="C24" i="4"/>
  <c r="C25" i="4"/>
  <c r="C26" i="4"/>
  <c r="C27" i="4"/>
  <c r="C32" i="4"/>
  <c r="C28" i="4"/>
  <c r="C29" i="4"/>
  <c r="C30" i="4"/>
  <c r="C31" i="4"/>
  <c r="C33" i="4"/>
  <c r="C34" i="4"/>
  <c r="C35" i="4"/>
  <c r="C37" i="4"/>
  <c r="C39" i="4"/>
  <c r="C40" i="4"/>
  <c r="C41" i="4"/>
  <c r="C42" i="4"/>
  <c r="C43" i="4"/>
  <c r="C45" i="4"/>
  <c r="C46" i="4"/>
  <c r="C38" i="4"/>
  <c r="C47" i="4"/>
  <c r="C48" i="4"/>
  <c r="C76" i="4"/>
  <c r="C78" i="4"/>
  <c r="C74" i="4"/>
  <c r="C49" i="4"/>
  <c r="C77" i="4"/>
  <c r="C176" i="4"/>
  <c r="C177" i="4"/>
  <c r="C178" i="4"/>
  <c r="C11" i="4"/>
  <c r="C6" i="4"/>
  <c r="C5" i="4"/>
  <c r="C3" i="4"/>
  <c r="C7" i="4"/>
  <c r="C8" i="4"/>
  <c r="C9" i="4"/>
  <c r="C10" i="4"/>
  <c r="C4" i="4"/>
</calcChain>
</file>

<file path=xl/sharedStrings.xml><?xml version="1.0" encoding="utf-8"?>
<sst xmlns="http://schemas.openxmlformats.org/spreadsheetml/2006/main" count="453" uniqueCount="301">
  <si>
    <t>Task</t>
  </si>
  <si>
    <t>Priority</t>
  </si>
  <si>
    <t>Status</t>
  </si>
  <si>
    <t>Date Completed</t>
  </si>
  <si>
    <t>Email Miriam</t>
  </si>
  <si>
    <t>Date</t>
  </si>
  <si>
    <t>Email person who filled out form</t>
  </si>
  <si>
    <t>Make Beta Group 2 onboarding form (shorten questions and ask more about format of deliverable)</t>
  </si>
  <si>
    <t>Email new person from today</t>
  </si>
  <si>
    <t>Email follow up to beta group 1</t>
  </si>
  <si>
    <t>Review reports</t>
  </si>
  <si>
    <t>Make report template</t>
  </si>
  <si>
    <t>Make Linkedin and Social Media pages</t>
  </si>
  <si>
    <t>Send out Insta/FB friend requests</t>
  </si>
  <si>
    <t>Make and schedule Linkedin and Social Media posts for December</t>
  </si>
  <si>
    <t>Make and warm up thegrantscout.com emails</t>
  </si>
  <si>
    <t>Week Day</t>
  </si>
  <si>
    <t>Message Terry</t>
  </si>
  <si>
    <t>Meet with Terry</t>
  </si>
  <si>
    <t>Update Beta Leads Table</t>
  </si>
  <si>
    <t>Bullet list of report material options</t>
  </si>
  <si>
    <t>Prep for meeting with Terry</t>
  </si>
  <si>
    <t>Build F990 XLM import script and begin import</t>
  </si>
  <si>
    <t>Identify fields to include in F990 database</t>
  </si>
  <si>
    <t>Push website changes</t>
  </si>
  <si>
    <t>Call BG1</t>
  </si>
  <si>
    <t>Email Mariam</t>
  </si>
  <si>
    <t>Synthesize BG1 round 1 findings</t>
  </si>
  <si>
    <t>What questions need to be answered by BG1/BG2 and before making sales?</t>
  </si>
  <si>
    <t>What changes need to be made?</t>
  </si>
  <si>
    <t>Beta Group</t>
  </si>
  <si>
    <t>Company</t>
  </si>
  <si>
    <t>Contact Name</t>
  </si>
  <si>
    <t>State</t>
  </si>
  <si>
    <t>Contact Date</t>
  </si>
  <si>
    <t>Phone Number</t>
  </si>
  <si>
    <t>Website</t>
  </si>
  <si>
    <t>Contact Method</t>
  </si>
  <si>
    <t>Notes</t>
  </si>
  <si>
    <t>Follow Up Date</t>
  </si>
  <si>
    <t>1. Gave feedback</t>
  </si>
  <si>
    <t>Senior Network Services</t>
  </si>
  <si>
    <t>Mariam</t>
  </si>
  <si>
    <t>CA</t>
  </si>
  <si>
    <t>831-216-6132</t>
  </si>
  <si>
    <t>mariama@seniornetworkservices.org</t>
  </si>
  <si>
    <t>https://seniornetworkservices.org/</t>
  </si>
  <si>
    <t>Cold Call</t>
  </si>
  <si>
    <t>11-14-2025 - Called, left VM. She called back and said she consults other nonprofits on doing this, asked how we're different than grant watch, and said she wants to be able to opt out in case she gets too many emails(concerned about getting too many emails)</t>
  </si>
  <si>
    <t>2. Recieved Report</t>
  </si>
  <si>
    <t>Anaheim Memorial Manor Inc</t>
  </si>
  <si>
    <t xml:space="preserve">Andy </t>
  </si>
  <si>
    <t>andy.do@rhf.org</t>
  </si>
  <si>
    <t>11/14/2025 - Asked to talk to the person that does grant acquisition. Got transferred to Andy. He said sure might as well. Sent him the email with the survey while on the call. He said he'd fill it out after passing it through IT to make sure the link is safe.</t>
  </si>
  <si>
    <t>Patient Safety Movement Foundation</t>
  </si>
  <si>
    <t>Consuelo</t>
  </si>
  <si>
    <t>info@psmf.org</t>
  </si>
  <si>
    <t>https://PSMF.ORG</t>
  </si>
  <si>
    <t>11/5/2025 - info@psmf.org - consuelo answered and said that michael wasn't available but that it sound interesting.</t>
  </si>
  <si>
    <t>Ka Ulukoa</t>
  </si>
  <si>
    <t>Lee Lamb</t>
  </si>
  <si>
    <t>HI</t>
  </si>
  <si>
    <t>(808) 741-1276</t>
  </si>
  <si>
    <t>lamb@kaulukoa.org</t>
  </si>
  <si>
    <t>https://www.kaulukoa.org/</t>
  </si>
  <si>
    <t>Cold Email</t>
  </si>
  <si>
    <t>11/12/2025 - He responded: "This email address is fine, admin@kaulukoa.org. Thanks."</t>
  </si>
  <si>
    <t>Arborbrook Christian Academy</t>
  </si>
  <si>
    <t>Derek Durst</t>
  </si>
  <si>
    <t>NC</t>
  </si>
  <si>
    <t>(704) 821-9952</t>
  </si>
  <si>
    <t>derek.durst@arborbrook.org</t>
  </si>
  <si>
    <t>https://www.arborbrook.org/</t>
  </si>
  <si>
    <t>11/12/2025 - "Yes, I would be interested. This is the best email ". As in use this email to send the alerts</t>
  </si>
  <si>
    <t>4. Interested</t>
  </si>
  <si>
    <t>Catalina Island Conservancy</t>
  </si>
  <si>
    <t>Kristine Partridge</t>
  </si>
  <si>
    <t>562-437-8555</t>
  </si>
  <si>
    <t>kristinepartridge@me.com</t>
  </si>
  <si>
    <t>https://catalinaconservancy.org/</t>
  </si>
  <si>
    <t>Linkedin</t>
  </si>
  <si>
    <t>11/10/2025 - Said she wouldn't mind getting the emails.</t>
  </si>
  <si>
    <t>Sonoma County Farm Bureau</t>
  </si>
  <si>
    <t>Brooke</t>
  </si>
  <si>
    <t>Brooke@sonomafb.org</t>
  </si>
  <si>
    <t>https://WWW.SONOMAFB.ORG</t>
  </si>
  <si>
    <t>Children Today Inc</t>
  </si>
  <si>
    <t>Fernanda</t>
  </si>
  <si>
    <t>Alexis@childrentoday.org</t>
  </si>
  <si>
    <t>https://WWW.CHILDRENTODAY.ORG</t>
  </si>
  <si>
    <t>Bikur Cholim</t>
  </si>
  <si>
    <t>Lucky</t>
  </si>
  <si>
    <t>info@bikurcholim.net</t>
  </si>
  <si>
    <t>https://WWW.BIKURCHOLIM.NET</t>
  </si>
  <si>
    <t>Contact Email</t>
  </si>
  <si>
    <t>Report Email</t>
  </si>
  <si>
    <t xml:space="preserve">3. Filled out questionnaire </t>
  </si>
  <si>
    <t>hlfcc@hlfcc.org</t>
  </si>
  <si>
    <t>Terry Moran</t>
  </si>
  <si>
    <t>Shirah Elementary</t>
  </si>
  <si>
    <t>office@bnotshirah.org</t>
  </si>
  <si>
    <t>Alex Hoffmaster</t>
  </si>
  <si>
    <t>Horizons National</t>
  </si>
  <si>
    <t>267-990-9634</t>
  </si>
  <si>
    <t>ahoffmaster@horizonsnational.org</t>
  </si>
  <si>
    <t>5. Engaged</t>
  </si>
  <si>
    <t>6. Check back later</t>
  </si>
  <si>
    <t>2. Recieved report</t>
  </si>
  <si>
    <t>7. Not Interested</t>
  </si>
  <si>
    <t>PA</t>
  </si>
  <si>
    <t>VetsBoats</t>
  </si>
  <si>
    <t>Highland Lakes Family Crisis Center</t>
  </si>
  <si>
    <t>https://www.hlfcc.org/</t>
  </si>
  <si>
    <t>11/6/2025 - Talked to Brooke, she gave me her email and said to send an email to her and then she'll forward it to Dayna who'll be the one that decides. Brooke@sonomafb.org
11/12/2025 - Also got put in spam - she said to send over my linkedin and she'd forward all three emails/info for Dayna to look at and decide if they want to join. She asked if I was with a company and I explained a bit about my background and how I'm testing out something I've built on the side.</t>
  </si>
  <si>
    <t xml:space="preserve">11/6/2025 - Fernanda said she'd let Alexis know I called. Alexis@childrentoday.org. 
11/12/2025 - Alexis answered and said that Elia is the right person to talk to and gave me her email: elia@childrentoday.org. </t>
  </si>
  <si>
    <t>11/5/2025 - Lucky - Director. Needs Review, how do they connect to it etc(said make the email as detailed as possible so they can look into it. -  info@bikurcholim.net. 
11/12/2025 - Working through a lot right now (technical challenges etc with other things(I guess they just migrated all of their systems to mac book) - Let them know when we launch, and then reach out again in six months when they're probably more settled and they'll be able to focus on it. REACH OUT WHEN LAUNCHING AND IN SIX MONTHS(5/12/2025)</t>
  </si>
  <si>
    <t>TX</t>
  </si>
  <si>
    <t>https://www.vetsboats.org/</t>
  </si>
  <si>
    <t>https://www.bnotshirah.org/</t>
  </si>
  <si>
    <t>NJ</t>
  </si>
  <si>
    <t>https://www.horizonsnational.org/</t>
  </si>
  <si>
    <t>info@horizonsnational.org</t>
  </si>
  <si>
    <t>11/24/2025 - Thank you for reaching out.Our email is the one you already have - office@bnotshirah.org. Please send us the document you use to survey. Thanks!
12/1/2025 - Haven't heard back, sent follow up email</t>
  </si>
  <si>
    <t>11/24/2025 - Sent cold email and he scheduled a zoom call
11/25/2025 - Zoom call notes:national office of out of school K-8 programs. 6 week summer program. Enrichment activities. Students are with them for 6 week program. $43 decentralized network. National funding(his team focuses on) program quality and expanding network (to add 2-3 sites a year. Also middle of the road funders (multiple geographies). hyperlocal funding (locally based foundations in the community where the sites are) Direct fundraising goal (cash needed to operate) indirect fundraising (getting resources to build or learn etc.) Want to identify opportunities for all three(instead of just looking for funds for the national office. Donors search on the individual side (pooled publicly available info - who would be the right one) . from strategy perspective a lot of upside to working with family foundations. have had a lot of success working with family foundations (receptive to cause and in mission). Which foundations have you received from in the last year?
12/1/2025 - He filled out the onboarding form and is ready for a report</t>
  </si>
  <si>
    <t>11/21/2025 - Sent cold email
12/1/2025 - They emailed back: Hi, This email works. What exactly will you do for the organization?Thank you</t>
  </si>
  <si>
    <t>Rabbi Yossi</t>
  </si>
  <si>
    <t>rabbiyossi@friendshipsd.org</t>
  </si>
  <si>
    <t>https://www.friendshipsd.org/</t>
  </si>
  <si>
    <t>Friendship Circle of San Diego</t>
  </si>
  <si>
    <t>BG1</t>
  </si>
  <si>
    <t>BG2</t>
  </si>
  <si>
    <t>Check database import for completeness</t>
  </si>
  <si>
    <t>Enrich grants table recipient EINs</t>
  </si>
  <si>
    <t>11/12/2025 - He called back and said he was interested. I texted him the form but haven't heard back from him
12/3/2025 - Texted backa nd said he would fill out th eform tomorrow</t>
  </si>
  <si>
    <t>Update onboarding form</t>
  </si>
  <si>
    <t>Email last 2 BG1 nonprofits - no need to fill out form, just give me feedback</t>
  </si>
  <si>
    <t>Fix database holes (phase 1)</t>
  </si>
  <si>
    <t>Product Development</t>
  </si>
  <si>
    <t>Beta Testing</t>
  </si>
  <si>
    <t>Sales</t>
  </si>
  <si>
    <t>Sales Prep</t>
  </si>
  <si>
    <t>Put cleaned up demo report on website</t>
  </si>
  <si>
    <t xml:space="preserve">11/7/2025 - Connected on Linkedin and said he'd like to chat sometime
12/1/2025 - Scheduled a meeting for 12/4/2025
12/4/2025 - Chatted with him - he built the nonprofit and is working on expanding nationwide. They just brought on a development guy named Matt. He was interested in what we're doing and said he'd set up a meeeting with matt. I pitched him $99 a month for a monthly report. He sent me this llink to learn more about them: https://www.vetsboats.org/post/vetsboats-foundation-our-why
 </t>
  </si>
  <si>
    <t>Send follow up email to Terry</t>
  </si>
  <si>
    <t>Enrich URLs column</t>
  </si>
  <si>
    <t>Make last round of website edits</t>
  </si>
  <si>
    <t>Clean up folder structure</t>
  </si>
  <si>
    <t>Make a privacy policy</t>
  </si>
  <si>
    <t>Make and send BG1 V2 reports</t>
  </si>
  <si>
    <t>Follow up with Terry</t>
  </si>
  <si>
    <t>Have the research team build a launch/outreach plan</t>
  </si>
  <si>
    <t>Import the rest of the f990 data</t>
  </si>
  <si>
    <t xml:space="preserve">Enrich EINs </t>
  </si>
  <si>
    <t>Enrich URLs</t>
  </si>
  <si>
    <t>Build Dim tables</t>
  </si>
  <si>
    <t>Build calc tables</t>
  </si>
  <si>
    <t>Build match tables</t>
  </si>
  <si>
    <t>Launch</t>
  </si>
  <si>
    <t>Prep for meeting with Matt</t>
  </si>
  <si>
    <t>Meet with Matt</t>
  </si>
  <si>
    <t>Send Jonathan Market Research</t>
  </si>
  <si>
    <t>Make Calls</t>
  </si>
  <si>
    <t>Finish market research doc (and business plan doc?)</t>
  </si>
  <si>
    <t>Write email to Jonathan</t>
  </si>
  <si>
    <t>Send email to Jonathan</t>
  </si>
  <si>
    <t>Email Beta group about software updates and delays</t>
  </si>
  <si>
    <t>Post on FB and Instagram</t>
  </si>
  <si>
    <t>Update website to include yearly subscription option</t>
  </si>
  <si>
    <t>Set up follow up email campaign</t>
  </si>
  <si>
    <t>Reach out to Tech Stack</t>
  </si>
  <si>
    <t>Accountability</t>
  </si>
  <si>
    <t>Beta</t>
  </si>
  <si>
    <t>Email Dan's friend a friendly hello</t>
  </si>
  <si>
    <t xml:space="preserve">Semantic Embedding  Phase 1 review </t>
  </si>
  <si>
    <t>Fix Table of contents on formatter/report template</t>
  </si>
  <si>
    <t>Semantic Embedding Phase 2 review</t>
  </si>
  <si>
    <t>Semantic Embedding</t>
  </si>
  <si>
    <t>Start Semantic Embedding  Phase 2</t>
  </si>
  <si>
    <t>Get an AI notetaker for teams meetings</t>
  </si>
  <si>
    <t>Set up GA4 for website traffic monitoring</t>
  </si>
  <si>
    <t>Improve site SEO</t>
  </si>
  <si>
    <t>Get an email if someone fills out the form</t>
  </si>
  <si>
    <t>Switch microsoft to thegrantscout?</t>
  </si>
  <si>
    <t>Warm up thegrantscout email campaign emails</t>
  </si>
  <si>
    <t xml:space="preserve">Make a linkedin </t>
  </si>
  <si>
    <t>Make a bunch of linkedin posts</t>
  </si>
  <si>
    <t>PGVector and migration</t>
  </si>
  <si>
    <t>Migrate DB to Mac</t>
  </si>
  <si>
    <t>Update software to run on Mac</t>
  </si>
  <si>
    <t>Call 4 Funders</t>
  </si>
  <si>
    <t>Find emails/contact people at foundations</t>
  </si>
  <si>
    <t>Call many foundations</t>
  </si>
  <si>
    <t>Enrich EINs in Database</t>
  </si>
  <si>
    <t>Research algorithm</t>
  </si>
  <si>
    <t>Send Deb the list</t>
  </si>
  <si>
    <t>Build Model v4</t>
  </si>
  <si>
    <t>Write script pipeline</t>
  </si>
  <si>
    <t>Build and review all beta reports</t>
  </si>
  <si>
    <t>Fix SEO google problem</t>
  </si>
  <si>
    <t>Set my personal linkedin up as a creator</t>
  </si>
  <si>
    <t>Send reports</t>
  </si>
  <si>
    <t>Call Jesse Ostroff</t>
  </si>
  <si>
    <t>Gather and clean call call list for Monday</t>
  </si>
  <si>
    <t>Review week 1 linkedin posts</t>
  </si>
  <si>
    <t>Write todo list</t>
  </si>
  <si>
    <t>Write report for Jonathan</t>
  </si>
  <si>
    <t>Send Jonathan Report</t>
  </si>
  <si>
    <t>Make plan for next week</t>
  </si>
  <si>
    <t>Launch automatic linkedin posting</t>
  </si>
  <si>
    <t>Update Email campaign (messaging and people to reach out to)</t>
  </si>
  <si>
    <t>Start nonprofit campaign</t>
  </si>
  <si>
    <t>Write down what I did over the break</t>
  </si>
  <si>
    <t>Make foundation scraping skill file</t>
  </si>
  <si>
    <t>Review week linkedin plan output</t>
  </si>
  <si>
    <t>Write script for email body writing</t>
  </si>
  <si>
    <t>Review CRM build</t>
  </si>
  <si>
    <t>Plan on who to call each day next week</t>
  </si>
  <si>
    <t>Enrich CRM prospects as needed</t>
  </si>
  <si>
    <t>research Alletta morris mcbean char..</t>
  </si>
  <si>
    <t>Call michele at oxford financial group (in the afternoon0</t>
  </si>
  <si>
    <t>Email Maribel Cruz at seven acres foundation</t>
  </si>
  <si>
    <t>Find east coast foundations</t>
  </si>
  <si>
    <t>Set up email campaign to nonprofits</t>
  </si>
  <si>
    <t>Set up email campaign to foundations</t>
  </si>
  <si>
    <t>Email Matt about payment</t>
  </si>
  <si>
    <t>Respond to Margi/Melissa's email</t>
  </si>
  <si>
    <t>Update CRM to show weekly stats and results</t>
  </si>
  <si>
    <t>Marketing/Visibility</t>
  </si>
  <si>
    <t>Direct Sales Actions</t>
  </si>
  <si>
    <t>Planning &amp; Accountability</t>
  </si>
  <si>
    <t>Sales Analysis</t>
  </si>
  <si>
    <t>Beta Client Work</t>
  </si>
  <si>
    <t>Warm up  email addresses</t>
  </si>
  <si>
    <t>Get additional 990 data for the database</t>
  </si>
  <si>
    <t>Respond to Matts email</t>
  </si>
  <si>
    <t>Call Grammy</t>
  </si>
  <si>
    <t>Call Bethany</t>
  </si>
  <si>
    <t>Call Braden</t>
  </si>
  <si>
    <t>Send Braden Claude Code ClI startup guide</t>
  </si>
  <si>
    <t>Confirm Braden setup Claude Code CLI</t>
  </si>
  <si>
    <t>Call with Matt and Terry</t>
  </si>
  <si>
    <t>Write up report for last week - Jonathan, Bishop, Grammy</t>
  </si>
  <si>
    <t>Prep for call with Matt and Terry
- Moneyball 
- Send teams link
- List of deliverables in a report
- List of similar nonprofits
- List of target funders</t>
  </si>
  <si>
    <t>Direct Sales</t>
  </si>
  <si>
    <t>Send 5 Beta reports</t>
  </si>
  <si>
    <t>Build pipeline test harness</t>
  </si>
  <si>
    <t>Call foundation leads</t>
  </si>
  <si>
    <t xml:space="preserve">Call 100 nonprofit prospects </t>
  </si>
  <si>
    <t>Migrate database to supabase</t>
  </si>
  <si>
    <t>Consolidate report generation scripts/prompting</t>
  </si>
  <si>
    <t>Generate and send 5 more beta reports</t>
  </si>
  <si>
    <t>Send VetsBoats their first report</t>
  </si>
  <si>
    <t>Call foundation leads back.</t>
  </si>
  <si>
    <t>Call 100 nonprofit prospects directly</t>
  </si>
  <si>
    <t>Migrate database to Supabase (for easier report generation)</t>
  </si>
  <si>
    <t>Due Date</t>
  </si>
  <si>
    <t>Goals</t>
  </si>
  <si>
    <t>Plans</t>
  </si>
  <si>
    <t>Build Test Harness</t>
  </si>
  <si>
    <t>Run test harness</t>
  </si>
  <si>
    <t>Finish Phase 4 for easy reports</t>
  </si>
  <si>
    <t>Make supabase able to handle more data</t>
  </si>
  <si>
    <t>Rerun import script (piece by piece version)</t>
  </si>
  <si>
    <t>Identify additional f990 data to import</t>
  </si>
  <si>
    <t>Run pipeline on 100 test nonprofits</t>
  </si>
  <si>
    <t xml:space="preserve">Make pipeline V4 </t>
  </si>
  <si>
    <t>Identify nonprofits to test on and call (from the foundation who said no)</t>
  </si>
  <si>
    <t>Call 20 nonprofits</t>
  </si>
  <si>
    <t>Call 30 nonprofits</t>
  </si>
  <si>
    <t>Write up report on last nights run</t>
  </si>
  <si>
    <t>Analyze run and find identify matches for all 5 beta groups</t>
  </si>
  <si>
    <t>Goal</t>
  </si>
  <si>
    <t>Retirement Housing Foundation</t>
  </si>
  <si>
    <t>SNS</t>
  </si>
  <si>
    <t>Horizons National Student Enrichment Program Inc.</t>
  </si>
  <si>
    <t>Friendship Circle SD INC</t>
  </si>
  <si>
    <t>PSMF</t>
  </si>
  <si>
    <t>RHF</t>
  </si>
  <si>
    <t>HN</t>
  </si>
  <si>
    <t>FC</t>
  </si>
  <si>
    <t>Linkedin Connection Requests</t>
  </si>
  <si>
    <t>Accepted Requests</t>
  </si>
  <si>
    <t>Messaged</t>
  </si>
  <si>
    <t>Sent List</t>
  </si>
  <si>
    <t>Scheduled Meeting</t>
  </si>
  <si>
    <t>Called</t>
  </si>
  <si>
    <t>VM</t>
  </si>
  <si>
    <t>Calls Returned</t>
  </si>
  <si>
    <t>Sent Email</t>
  </si>
  <si>
    <t>Meeting Scheduled</t>
  </si>
  <si>
    <t>Linkedin posts on Fridays</t>
  </si>
  <si>
    <t>update TGS data dictionary</t>
  </si>
  <si>
    <t>Analyze VB report process</t>
  </si>
  <si>
    <t>Research CNE adhacent companies</t>
  </si>
  <si>
    <t>Email accountability my KPI goals for the week (and my new process)</t>
  </si>
  <si>
    <t>Open the leads excel sheet and see who to follow up with? (afternoon activity</t>
  </si>
  <si>
    <t xml:space="preserve">Learn about what kind of nonprofits we can work with now that we have section I data (public charities) </t>
  </si>
  <si>
    <t>How does the I data impact our reports flow?</t>
  </si>
  <si>
    <t>How much time did we save Matt looking through websites to find out eligibility - add that to the website</t>
  </si>
  <si>
    <t>Put a more current example report on the website</t>
  </si>
  <si>
    <t>Make Matts March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</si>
</sst>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b/>
      <sz val="22"/>
      <color theme="1"/>
      <name val="Calibri"/>
      <family val="2"/>
      <scheme val="minor"/>
    </font>
    <font>
      <sz val="11"/>
      <color rgb="FF222222"/>
      <name val="Arial"/>
      <family val="2"/>
    </font>
    <font>
      <b/>
      <sz val="20"/>
      <color theme="1"/>
      <name val="Calibri"/>
      <family val="2"/>
      <scheme val="minor"/>
    </font>
    <font>
      <b/>
      <sz val="20"/>
      <color rgb="FF222222"/>
      <name val="Arial"/>
      <family val="2"/>
    </font>
  </fonts>
  <fills count="2">
    <fill>
      <patternFill patternType="none"/>
    </fill>
    <fill>
      <patternFill patternType="gray125"/>
    </fill>
  </fills>
  <borders count="2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s>
  <cellStyleXfs count="2">
    <xf numFmtId="0" fontId="0" fillId="0" borderId="0"/>
    <xf numFmtId="0" fontId="2" fillId="0" borderId="0" applyNumberFormat="0" applyFill="0" applyBorder="0" applyAlignment="0" applyProtection="0"/>
  </cellStyleXfs>
  <cellXfs count="81">
    <xf numFmtId="0" fontId="0" fillId="0" borderId="0" xfId="0"/>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vertical="center"/>
    </xf>
    <xf numFmtId="16" fontId="0" fillId="0" borderId="0" xfId="0" applyNumberFormat="1" applyAlignment="1">
      <alignment vertical="center"/>
    </xf>
    <xf numFmtId="0" fontId="0" fillId="0" borderId="0" xfId="0" applyAlignment="1">
      <alignment vertical="center"/>
    </xf>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5" xfId="0" applyBorder="1" applyAlignment="1">
      <alignment wrapText="1"/>
    </xf>
    <xf numFmtId="0" fontId="0" fillId="0" borderId="8" xfId="0" applyBorder="1" applyAlignment="1">
      <alignment wrapText="1"/>
    </xf>
    <xf numFmtId="14" fontId="0" fillId="0" borderId="4" xfId="0" applyNumberFormat="1" applyBorder="1" applyAlignment="1">
      <alignment vertical="top" wrapText="1"/>
    </xf>
    <xf numFmtId="14" fontId="0" fillId="0" borderId="5" xfId="0" applyNumberFormat="1" applyBorder="1" applyAlignment="1">
      <alignment vertical="top" wrapText="1"/>
    </xf>
    <xf numFmtId="0" fontId="0" fillId="0" borderId="5" xfId="0" applyBorder="1" applyAlignment="1">
      <alignment vertical="top" wrapText="1"/>
    </xf>
    <xf numFmtId="14" fontId="0" fillId="0" borderId="6" xfId="0" applyNumberFormat="1" applyBorder="1" applyAlignment="1">
      <alignment vertical="top" wrapText="1"/>
    </xf>
    <xf numFmtId="0" fontId="0" fillId="0" borderId="6"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4" fillId="0" borderId="0" xfId="0" applyFont="1"/>
    <xf numFmtId="0" fontId="3" fillId="0" borderId="0" xfId="0" applyFont="1"/>
    <xf numFmtId="0" fontId="0" fillId="0" borderId="4" xfId="0" applyBorder="1"/>
    <xf numFmtId="0" fontId="0" fillId="0" borderId="5" xfId="0" applyBorder="1"/>
    <xf numFmtId="14" fontId="0" fillId="0" borderId="5" xfId="0" applyNumberFormat="1" applyBorder="1"/>
    <xf numFmtId="0" fontId="0" fillId="0" borderId="6" xfId="0" applyBorder="1"/>
    <xf numFmtId="14" fontId="0" fillId="0" borderId="6" xfId="0" applyNumberForma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4" fontId="0" fillId="0" borderId="11" xfId="0" applyNumberFormat="1" applyBorder="1"/>
    <xf numFmtId="0" fontId="0" fillId="0" borderId="12" xfId="0" applyBorder="1"/>
    <xf numFmtId="0" fontId="0" fillId="0" borderId="11" xfId="0" applyBorder="1" applyAlignment="1">
      <alignment horizontal="right"/>
    </xf>
    <xf numFmtId="0" fontId="0" fillId="0" borderId="5" xfId="0" applyBorder="1" applyAlignment="1">
      <alignment horizontal="right"/>
    </xf>
    <xf numFmtId="0" fontId="0" fillId="0" borderId="11" xfId="0" applyBorder="1" applyAlignment="1">
      <alignment wrapText="1"/>
    </xf>
    <xf numFmtId="0" fontId="2" fillId="0" borderId="5" xfId="1" applyBorder="1"/>
    <xf numFmtId="0" fontId="1" fillId="0" borderId="5" xfId="0" applyFont="1" applyBorder="1" applyAlignment="1">
      <alignment vertical="top" wrapText="1"/>
    </xf>
    <xf numFmtId="14" fontId="1" fillId="0" borderId="4" xfId="0" applyNumberFormat="1" applyFont="1" applyBorder="1" applyAlignment="1">
      <alignment vertical="top" wrapText="1"/>
    </xf>
    <xf numFmtId="14" fontId="1" fillId="0" borderId="6" xfId="0" applyNumberFormat="1" applyFont="1" applyBorder="1" applyAlignment="1">
      <alignment vertical="top" wrapText="1"/>
    </xf>
    <xf numFmtId="16" fontId="1" fillId="0" borderId="0" xfId="0" applyNumberFormat="1" applyFont="1" applyAlignment="1">
      <alignment vertical="center"/>
    </xf>
    <xf numFmtId="0" fontId="1" fillId="0" borderId="0" xfId="0" applyFont="1"/>
    <xf numFmtId="0" fontId="1" fillId="0" borderId="2" xfId="0" applyFont="1" applyBorder="1" applyAlignment="1">
      <alignment horizontal="center" vertical="center"/>
    </xf>
    <xf numFmtId="0" fontId="0" fillId="0" borderId="5" xfId="0" applyBorder="1" applyAlignment="1">
      <alignment vertical="top"/>
    </xf>
    <xf numFmtId="0" fontId="0" fillId="0" borderId="8" xfId="0" applyBorder="1" applyAlignment="1">
      <alignment vertical="top"/>
    </xf>
    <xf numFmtId="14" fontId="0" fillId="0" borderId="7" xfId="0" applyNumberFormat="1" applyBorder="1" applyAlignment="1">
      <alignment vertical="top" wrapText="1"/>
    </xf>
    <xf numFmtId="0" fontId="0" fillId="0" borderId="0" xfId="0" quotePrefix="1" applyAlignment="1">
      <alignment wrapText="1"/>
    </xf>
    <xf numFmtId="14" fontId="0" fillId="0" borderId="0" xfId="0" applyNumberFormat="1"/>
    <xf numFmtId="16" fontId="7" fillId="0" borderId="13" xfId="0" applyNumberFormat="1" applyFont="1" applyBorder="1" applyAlignment="1">
      <alignment horizontal="left"/>
    </xf>
    <xf numFmtId="0" fontId="6" fillId="0" borderId="15" xfId="0" applyFont="1" applyBorder="1"/>
    <xf numFmtId="14" fontId="0" fillId="0" borderId="16" xfId="0" applyNumberFormat="1" applyBorder="1"/>
    <xf numFmtId="0" fontId="6" fillId="0" borderId="17" xfId="0" applyFont="1" applyBorder="1"/>
    <xf numFmtId="14" fontId="0" fillId="0" borderId="18" xfId="0" applyNumberFormat="1" applyBorder="1"/>
    <xf numFmtId="0" fontId="6" fillId="0" borderId="13" xfId="0" applyFont="1" applyBorder="1"/>
    <xf numFmtId="14" fontId="0" fillId="0" borderId="14" xfId="0" applyNumberFormat="1" applyBorder="1"/>
    <xf numFmtId="0" fontId="6" fillId="0" borderId="0" xfId="0" applyFont="1"/>
    <xf numFmtId="0" fontId="7" fillId="0" borderId="14" xfId="0" applyFont="1" applyBorder="1"/>
    <xf numFmtId="0" fontId="0" fillId="0" borderId="13" xfId="0" applyBorder="1"/>
    <xf numFmtId="0" fontId="8" fillId="0" borderId="19" xfId="0" applyFont="1" applyBorder="1"/>
    <xf numFmtId="0" fontId="5" fillId="0" borderId="14" xfId="0" applyFont="1" applyBorder="1"/>
    <xf numFmtId="0" fontId="6" fillId="0" borderId="19" xfId="0" applyFont="1" applyBorder="1"/>
    <xf numFmtId="0" fontId="6" fillId="0" borderId="20" xfId="0" applyFont="1" applyBorder="1"/>
    <xf numFmtId="16" fontId="0" fillId="0" borderId="14" xfId="0" applyNumberFormat="1" applyBorder="1"/>
    <xf numFmtId="16" fontId="0" fillId="0" borderId="16" xfId="0" applyNumberFormat="1" applyBorder="1"/>
    <xf numFmtId="14" fontId="1" fillId="0" borderId="1" xfId="0" applyNumberFormat="1" applyFont="1" applyBorder="1" applyAlignment="1">
      <alignment horizontal="center" vertical="center" wrapText="1"/>
    </xf>
    <xf numFmtId="14" fontId="0" fillId="0" borderId="0" xfId="0" applyNumberFormat="1" applyAlignment="1">
      <alignment wrapText="1"/>
    </xf>
    <xf numFmtId="14" fontId="0" fillId="0" borderId="4" xfId="0" applyNumberFormat="1" applyBorder="1"/>
    <xf numFmtId="14" fontId="0" fillId="0" borderId="21" xfId="0" applyNumberFormat="1" applyBorder="1" applyAlignment="1">
      <alignment vertical="top" wrapText="1"/>
    </xf>
    <xf numFmtId="14" fontId="0" fillId="0" borderId="22" xfId="0" applyNumberFormat="1" applyBorder="1" applyAlignment="1">
      <alignment vertical="top" wrapText="1"/>
    </xf>
    <xf numFmtId="0" fontId="0" fillId="0" borderId="22" xfId="0" applyBorder="1" applyAlignment="1">
      <alignment vertical="top" wrapText="1"/>
    </xf>
    <xf numFmtId="14" fontId="0" fillId="0" borderId="22" xfId="0" applyNumberFormat="1" applyBorder="1" applyAlignment="1">
      <alignment vertical="top"/>
    </xf>
    <xf numFmtId="0" fontId="0" fillId="0" borderId="22" xfId="0" applyBorder="1" applyAlignment="1">
      <alignment vertical="top"/>
    </xf>
    <xf numFmtId="14" fontId="0" fillId="0" borderId="23" xfId="0" applyNumberFormat="1" applyBorder="1" applyAlignment="1">
      <alignment vertical="top" wrapText="1"/>
    </xf>
    <xf numFmtId="14" fontId="0" fillId="0" borderId="5" xfId="0" applyNumberFormat="1" applyBorder="1" applyAlignment="1">
      <alignment vertical="top"/>
    </xf>
    <xf numFmtId="14" fontId="1" fillId="0" borderId="5" xfId="0" applyNumberFormat="1" applyFont="1" applyBorder="1" applyAlignment="1">
      <alignment vertical="top"/>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1" fillId="0" borderId="0" xfId="0" applyFont="1" applyAlignment="1">
      <alignment wrapText="1"/>
    </xf>
    <xf numFmtId="0" fontId="0" fillId="0" borderId="0" xfId="0" applyBorder="1" applyAlignment="1">
      <alignment vertical="top" wrapText="1"/>
    </xf>
  </cellXfs>
  <cellStyles count="2">
    <cellStyle name="Hyperlink" xfId="1" builtinId="8"/>
    <cellStyle name="Normal" xfId="0" builtinId="0"/>
  </cellStyles>
  <dxfs count="37">
    <dxf>
      <fill>
        <patternFill>
          <bgColor rgb="FFFF9966"/>
        </patternFill>
      </fill>
    </dxf>
    <dxf>
      <fill>
        <patternFill>
          <bgColor rgb="FFF7FDAA"/>
        </patternFill>
      </fill>
    </dxf>
    <dxf>
      <fill>
        <patternFill>
          <bgColor rgb="FFFF99CC"/>
        </patternFill>
      </fill>
    </dxf>
    <dxf>
      <fill>
        <patternFill>
          <bgColor theme="5" tint="0.59996337778862885"/>
        </patternFill>
      </fill>
    </dxf>
    <dxf>
      <fill>
        <patternFill>
          <bgColor theme="9" tint="0.39994506668294322"/>
        </patternFill>
      </fill>
    </dxf>
    <dxf>
      <fill>
        <patternFill>
          <bgColor theme="8" tint="0.59996337778862885"/>
        </patternFill>
      </fill>
    </dxf>
    <dxf>
      <fill>
        <patternFill>
          <bgColor rgb="FFFF9966"/>
        </patternFill>
      </fill>
    </dxf>
    <dxf>
      <fill>
        <patternFill>
          <bgColor rgb="FFB7C3FD"/>
        </patternFill>
      </fill>
    </dxf>
    <dxf>
      <fill>
        <patternFill>
          <bgColor rgb="FFFF99CC"/>
        </patternFill>
      </fill>
    </dxf>
    <dxf>
      <fill>
        <patternFill>
          <bgColor theme="5" tint="0.59996337778862885"/>
        </patternFill>
      </fill>
    </dxf>
    <dxf>
      <fill>
        <patternFill>
          <bgColor theme="9" tint="0.39994506668294322"/>
        </patternFill>
      </fill>
    </dxf>
    <dxf>
      <fill>
        <patternFill>
          <bgColor theme="8" tint="0.59996337778862885"/>
        </patternFill>
      </fill>
    </dxf>
    <dxf>
      <fill>
        <patternFill>
          <bgColor theme="2" tint="-0.24994659260841701"/>
        </patternFill>
      </fill>
    </dxf>
    <dxf>
      <fill>
        <patternFill>
          <bgColor theme="7" tint="0.79998168889431442"/>
        </patternFill>
      </fill>
    </dxf>
    <dxf>
      <fill>
        <patternFill>
          <bgColor rgb="FFABE0FF"/>
        </patternFill>
      </fill>
    </dxf>
    <dxf>
      <fill>
        <patternFill>
          <bgColor rgb="FFFF99CC"/>
        </patternFill>
      </fill>
    </dxf>
    <dxf>
      <fill>
        <patternFill>
          <bgColor theme="5" tint="0.59996337778862885"/>
        </patternFill>
      </fill>
    </dxf>
    <dxf>
      <fill>
        <patternFill>
          <bgColor theme="9" tint="0.39994506668294322"/>
        </patternFill>
      </fill>
    </dxf>
    <dxf>
      <fill>
        <patternFill>
          <bgColor rgb="FFB7C3FD"/>
        </patternFill>
      </fill>
    </dxf>
    <dxf>
      <fill>
        <patternFill>
          <bgColor rgb="FFFF99CC"/>
        </patternFill>
      </fill>
    </dxf>
    <dxf>
      <fill>
        <patternFill>
          <bgColor theme="5" tint="0.59996337778862885"/>
        </patternFill>
      </fill>
    </dxf>
    <dxf>
      <fill>
        <patternFill>
          <bgColor theme="9" tint="0.39994506668294322"/>
        </patternFill>
      </fill>
    </dxf>
    <dxf>
      <fill>
        <patternFill>
          <bgColor theme="8" tint="0.59996337778862885"/>
        </patternFill>
      </fill>
    </dxf>
    <dxf>
      <fill>
        <patternFill>
          <bgColor rgb="FFFF9966"/>
        </patternFill>
      </fill>
    </dxf>
    <dxf>
      <fill>
        <patternFill>
          <bgColor rgb="FFB7C3FD"/>
        </patternFill>
      </fill>
    </dxf>
    <dxf>
      <fill>
        <patternFill>
          <bgColor rgb="FFFF99CC"/>
        </patternFill>
      </fill>
    </dxf>
    <dxf>
      <fill>
        <patternFill>
          <bgColor theme="5" tint="0.59996337778862885"/>
        </patternFill>
      </fill>
    </dxf>
    <dxf>
      <fill>
        <patternFill>
          <bgColor theme="9" tint="0.39994506668294322"/>
        </patternFill>
      </fill>
    </dxf>
    <dxf>
      <fill>
        <patternFill>
          <bgColor theme="8" tint="0.59996337778862885"/>
        </patternFill>
      </fill>
    </dxf>
    <dxf>
      <fill>
        <patternFill>
          <bgColor rgb="FFFF9966"/>
        </patternFill>
      </fill>
    </dxf>
    <dxf>
      <fill>
        <patternFill>
          <bgColor rgb="FFCCCCFF"/>
        </patternFill>
      </fill>
    </dxf>
    <dxf>
      <fill>
        <patternFill>
          <bgColor rgb="FFFFCCFF"/>
        </patternFill>
      </fill>
    </dxf>
    <dxf>
      <fill>
        <patternFill>
          <bgColor theme="7" tint="0.79998168889431442"/>
        </patternFill>
      </fill>
    </dxf>
    <dxf>
      <fill>
        <patternFill>
          <bgColor theme="5" tint="0.59996337778862885"/>
        </patternFill>
      </fill>
    </dxf>
    <dxf>
      <fill>
        <patternFill>
          <bgColor theme="4" tint="0.59996337778862885"/>
        </patternFill>
      </fill>
    </dxf>
    <dxf>
      <fill>
        <patternFill>
          <bgColor theme="9" tint="0.59996337778862885"/>
        </patternFill>
      </fill>
    </dxf>
    <dxf>
      <fill>
        <patternFill>
          <bgColor theme="6" tint="0.59996337778862885"/>
        </patternFill>
      </fill>
    </dxf>
  </dxfs>
  <tableStyles count="0" defaultTableStyle="TableStyleMedium2" defaultPivotStyle="PivotStyleLight16"/>
  <colors>
    <mruColors>
      <color rgb="FFC6C7FF"/>
      <color rgb="FF9999FF"/>
      <color rgb="FFABE0FF"/>
      <color rgb="FFBAE9EF"/>
      <color rgb="FFF7FDAA"/>
      <color rgb="FFB7C3FD"/>
      <color rgb="FFCCCCFF"/>
      <color rgb="FFFFCCFF"/>
      <color rgb="FFFF99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abbiyossi@friendshipsd.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B370-5E5C-46A0-8279-06017109B5E9}">
  <dimension ref="B2:E27"/>
  <sheetViews>
    <sheetView workbookViewId="0">
      <selection activeCell="D13" sqref="D13:D27"/>
    </sheetView>
  </sheetViews>
  <sheetFormatPr baseColWidth="10" defaultColWidth="8.83203125" defaultRowHeight="15" x14ac:dyDescent="0.2"/>
  <cols>
    <col min="3" max="3" width="57.83203125" customWidth="1"/>
    <col min="4" max="4" width="17.5" customWidth="1"/>
    <col min="5" max="5" width="18.33203125" customWidth="1"/>
  </cols>
  <sheetData>
    <row r="2" spans="2:5" ht="16" thickBot="1" x14ac:dyDescent="0.25"/>
    <row r="3" spans="2:5" ht="27" thickBot="1" x14ac:dyDescent="0.35">
      <c r="C3" s="49" t="s">
        <v>256</v>
      </c>
      <c r="D3" s="57" t="s">
        <v>255</v>
      </c>
    </row>
    <row r="4" spans="2:5" x14ac:dyDescent="0.2">
      <c r="B4">
        <v>1</v>
      </c>
      <c r="C4" s="54" t="s">
        <v>250</v>
      </c>
      <c r="D4" s="55">
        <v>46041</v>
      </c>
    </row>
    <row r="5" spans="2:5" x14ac:dyDescent="0.2">
      <c r="C5" s="50" t="s">
        <v>251</v>
      </c>
      <c r="D5" s="51">
        <v>46041</v>
      </c>
    </row>
    <row r="6" spans="2:5" x14ac:dyDescent="0.2">
      <c r="C6" s="50" t="s">
        <v>252</v>
      </c>
      <c r="D6" s="51">
        <v>46041</v>
      </c>
    </row>
    <row r="7" spans="2:5" x14ac:dyDescent="0.2">
      <c r="C7" s="50" t="s">
        <v>253</v>
      </c>
      <c r="D7" s="51">
        <v>46041</v>
      </c>
    </row>
    <row r="8" spans="2:5" x14ac:dyDescent="0.2">
      <c r="C8" s="50" t="s">
        <v>254</v>
      </c>
      <c r="D8" s="51">
        <v>46041</v>
      </c>
    </row>
    <row r="9" spans="2:5" ht="16" thickBot="1" x14ac:dyDescent="0.25">
      <c r="C9" s="52" t="s">
        <v>249</v>
      </c>
      <c r="D9" s="53">
        <v>46041</v>
      </c>
    </row>
    <row r="10" spans="2:5" x14ac:dyDescent="0.2">
      <c r="C10" s="47"/>
      <c r="D10" s="47"/>
    </row>
    <row r="11" spans="2:5" ht="16" thickBot="1" x14ac:dyDescent="0.25"/>
    <row r="12" spans="2:5" ht="30" thickBot="1" x14ac:dyDescent="0.4">
      <c r="C12" s="58"/>
      <c r="D12" s="59" t="s">
        <v>257</v>
      </c>
      <c r="E12" s="60" t="s">
        <v>255</v>
      </c>
    </row>
    <row r="13" spans="2:5" x14ac:dyDescent="0.2">
      <c r="C13" s="54" t="s">
        <v>250</v>
      </c>
      <c r="D13" s="61" t="s">
        <v>269</v>
      </c>
      <c r="E13" s="63">
        <v>46042</v>
      </c>
    </row>
    <row r="14" spans="2:5" x14ac:dyDescent="0.2">
      <c r="C14" s="50" t="s">
        <v>250</v>
      </c>
      <c r="D14" s="56" t="s">
        <v>270</v>
      </c>
      <c r="E14" s="51">
        <v>46042</v>
      </c>
    </row>
    <row r="15" spans="2:5" x14ac:dyDescent="0.2">
      <c r="C15" s="50" t="s">
        <v>250</v>
      </c>
      <c r="D15" s="56" t="s">
        <v>258</v>
      </c>
      <c r="E15" s="51">
        <v>46043</v>
      </c>
    </row>
    <row r="16" spans="2:5" x14ac:dyDescent="0.2">
      <c r="C16" s="50" t="s">
        <v>250</v>
      </c>
      <c r="D16" s="56" t="s">
        <v>259</v>
      </c>
      <c r="E16" s="51">
        <v>46043</v>
      </c>
    </row>
    <row r="17" spans="3:5" x14ac:dyDescent="0.2">
      <c r="C17" s="50" t="s">
        <v>250</v>
      </c>
      <c r="D17" s="56" t="s">
        <v>260</v>
      </c>
      <c r="E17" s="51">
        <v>46042</v>
      </c>
    </row>
    <row r="18" spans="3:5" x14ac:dyDescent="0.2">
      <c r="C18" s="50" t="s">
        <v>254</v>
      </c>
      <c r="D18" s="56" t="s">
        <v>261</v>
      </c>
      <c r="E18" s="51">
        <v>46043</v>
      </c>
    </row>
    <row r="19" spans="3:5" x14ac:dyDescent="0.2">
      <c r="C19" s="50" t="s">
        <v>254</v>
      </c>
      <c r="D19" s="56" t="s">
        <v>262</v>
      </c>
      <c r="E19" s="64">
        <v>46043</v>
      </c>
    </row>
    <row r="20" spans="3:5" x14ac:dyDescent="0.2">
      <c r="C20" s="50" t="s">
        <v>249</v>
      </c>
      <c r="D20" s="56" t="s">
        <v>263</v>
      </c>
      <c r="E20" s="51">
        <v>46044</v>
      </c>
    </row>
    <row r="21" spans="3:5" x14ac:dyDescent="0.2">
      <c r="C21" s="50" t="s">
        <v>249</v>
      </c>
      <c r="D21" s="56" t="s">
        <v>264</v>
      </c>
      <c r="E21" s="51">
        <v>46045</v>
      </c>
    </row>
    <row r="22" spans="3:5" x14ac:dyDescent="0.2">
      <c r="C22" s="50" t="s">
        <v>249</v>
      </c>
      <c r="D22" s="56" t="s">
        <v>265</v>
      </c>
      <c r="E22" s="51">
        <v>46045</v>
      </c>
    </row>
    <row r="23" spans="3:5" x14ac:dyDescent="0.2">
      <c r="C23" s="50" t="s">
        <v>249</v>
      </c>
      <c r="D23" s="56" t="s">
        <v>266</v>
      </c>
      <c r="E23" s="51">
        <v>46042</v>
      </c>
    </row>
    <row r="24" spans="3:5" x14ac:dyDescent="0.2">
      <c r="C24" s="50" t="s">
        <v>253</v>
      </c>
      <c r="D24" s="56" t="s">
        <v>267</v>
      </c>
      <c r="E24" s="51">
        <v>46042</v>
      </c>
    </row>
    <row r="25" spans="3:5" x14ac:dyDescent="0.2">
      <c r="C25" s="50" t="s">
        <v>253</v>
      </c>
      <c r="D25" s="56" t="s">
        <v>268</v>
      </c>
      <c r="E25" s="51">
        <v>46043</v>
      </c>
    </row>
    <row r="26" spans="3:5" x14ac:dyDescent="0.2">
      <c r="C26" s="50" t="s">
        <v>253</v>
      </c>
      <c r="D26" s="56" t="s">
        <v>267</v>
      </c>
      <c r="E26" s="51">
        <v>46044</v>
      </c>
    </row>
    <row r="27" spans="3:5" ht="16" thickBot="1" x14ac:dyDescent="0.25">
      <c r="C27" s="52" t="s">
        <v>253</v>
      </c>
      <c r="D27" s="62" t="s">
        <v>268</v>
      </c>
      <c r="E27" s="53">
        <v>46045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18F1-E8D1-4EDA-B8FC-EAEFD9F39116}">
  <dimension ref="B1:S179"/>
  <sheetViews>
    <sheetView zoomScale="130" zoomScaleNormal="130" workbookViewId="0">
      <pane xSplit="1" ySplit="2" topLeftCell="B117" activePane="bottomRight" state="frozen"/>
      <selection pane="topRight" activeCell="B1" sqref="B1"/>
      <selection pane="bottomLeft" activeCell="A3" sqref="A3"/>
      <selection pane="bottomRight" activeCell="C136" sqref="C136"/>
    </sheetView>
  </sheetViews>
  <sheetFormatPr baseColWidth="10" defaultColWidth="8.83203125" defaultRowHeight="15" x14ac:dyDescent="0.2"/>
  <cols>
    <col min="2" max="2" width="23.5" style="66" customWidth="1"/>
    <col min="3" max="3" width="23.5" style="2" customWidth="1"/>
    <col min="4" max="4" width="8.33203125" style="2" customWidth="1"/>
    <col min="5" max="5" width="34.1640625" customWidth="1"/>
    <col min="6" max="6" width="49.5" style="2" customWidth="1"/>
    <col min="7" max="7" width="20.83203125" hidden="1" customWidth="1"/>
    <col min="8" max="8" width="16.1640625" style="2" customWidth="1"/>
    <col min="9" max="13" width="23.5" customWidth="1"/>
    <col min="14" max="19" width="13.5" customWidth="1"/>
  </cols>
  <sheetData>
    <row r="1" spans="2:19" ht="16" thickBot="1" x14ac:dyDescent="0.25">
      <c r="B1" s="48"/>
      <c r="C1"/>
      <c r="D1"/>
      <c r="F1"/>
      <c r="H1"/>
    </row>
    <row r="2" spans="2:19" s="2" customFormat="1" ht="17" thickBot="1" x14ac:dyDescent="0.25">
      <c r="B2" s="65" t="s">
        <v>5</v>
      </c>
      <c r="C2" s="9" t="s">
        <v>16</v>
      </c>
      <c r="D2" s="9" t="s">
        <v>1</v>
      </c>
      <c r="E2" s="43" t="s">
        <v>271</v>
      </c>
      <c r="F2" s="9" t="s">
        <v>0</v>
      </c>
      <c r="G2" s="43"/>
      <c r="H2" s="10" t="s">
        <v>3</v>
      </c>
      <c r="I2" s="1"/>
      <c r="J2" s="1"/>
      <c r="K2" s="1"/>
      <c r="L2" s="1"/>
      <c r="M2" s="1"/>
      <c r="N2" s="1"/>
      <c r="O2" s="1"/>
      <c r="P2" s="1"/>
      <c r="Q2" s="1"/>
      <c r="R2" s="1"/>
      <c r="S2" s="1"/>
    </row>
    <row r="3" spans="2:19" ht="16" x14ac:dyDescent="0.2">
      <c r="B3" s="68">
        <v>45992</v>
      </c>
      <c r="C3" s="69" t="str">
        <f>TEXT(B3, "dddd")</f>
        <v>Monday</v>
      </c>
      <c r="D3" s="70">
        <v>1</v>
      </c>
      <c r="E3" s="71"/>
      <c r="F3" s="70" t="s">
        <v>20</v>
      </c>
      <c r="G3" s="72" t="s">
        <v>140</v>
      </c>
      <c r="H3" s="73">
        <v>45992</v>
      </c>
      <c r="I3" s="3"/>
      <c r="J3" s="3"/>
      <c r="K3" s="3"/>
      <c r="L3" s="3"/>
      <c r="M3" s="3"/>
      <c r="N3" s="4"/>
      <c r="O3" s="5"/>
      <c r="P3" s="4"/>
      <c r="Q3" s="5"/>
      <c r="R3" s="4"/>
      <c r="S3" s="5"/>
    </row>
    <row r="4" spans="2:19" ht="16" x14ac:dyDescent="0.2">
      <c r="B4" s="13">
        <v>45992</v>
      </c>
      <c r="C4" s="14" t="str">
        <f>TEXT(B4, "dddd")</f>
        <v>Monday</v>
      </c>
      <c r="D4" s="15">
        <v>1</v>
      </c>
      <c r="E4" s="74"/>
      <c r="F4" s="15" t="s">
        <v>4</v>
      </c>
      <c r="G4" s="44" t="s">
        <v>138</v>
      </c>
      <c r="H4" s="16">
        <v>45992</v>
      </c>
      <c r="I4" s="5"/>
      <c r="J4" s="5"/>
      <c r="K4" s="5"/>
      <c r="L4" s="5"/>
      <c r="M4" s="5"/>
      <c r="N4" s="5"/>
      <c r="O4" s="5"/>
      <c r="P4" s="5"/>
      <c r="Q4" s="5"/>
      <c r="R4" s="4"/>
      <c r="S4" s="5"/>
    </row>
    <row r="5" spans="2:19" ht="16" x14ac:dyDescent="0.2">
      <c r="B5" s="13">
        <v>45992</v>
      </c>
      <c r="C5" s="14" t="str">
        <f>TEXT(B5, "dddd")</f>
        <v>Monday</v>
      </c>
      <c r="D5" s="15">
        <v>1</v>
      </c>
      <c r="E5" s="74"/>
      <c r="F5" s="15" t="s">
        <v>10</v>
      </c>
      <c r="G5" s="44" t="s">
        <v>140</v>
      </c>
      <c r="H5" s="16">
        <v>45992</v>
      </c>
      <c r="I5" s="5"/>
      <c r="J5" s="5"/>
      <c r="K5" s="5"/>
      <c r="L5" s="5"/>
      <c r="M5" s="5"/>
      <c r="N5" s="5"/>
      <c r="O5" s="5"/>
      <c r="P5" s="4"/>
      <c r="Q5" s="5"/>
      <c r="R5" s="4"/>
      <c r="S5" s="5"/>
    </row>
    <row r="6" spans="2:19" ht="16" x14ac:dyDescent="0.2">
      <c r="B6" s="13">
        <v>45992</v>
      </c>
      <c r="C6" s="14" t="str">
        <f>TEXT(B6, "dddd")</f>
        <v>Monday</v>
      </c>
      <c r="D6" s="15">
        <v>2</v>
      </c>
      <c r="E6" s="74"/>
      <c r="F6" s="15" t="s">
        <v>17</v>
      </c>
      <c r="G6" s="44" t="s">
        <v>139</v>
      </c>
      <c r="H6" s="16">
        <v>45992</v>
      </c>
      <c r="I6" s="5"/>
      <c r="J6" s="5"/>
      <c r="K6" s="5"/>
      <c r="L6" s="5"/>
      <c r="M6" s="5"/>
      <c r="N6" s="5"/>
      <c r="O6" s="5"/>
      <c r="P6" s="5"/>
      <c r="Q6" s="5"/>
      <c r="R6" s="4"/>
      <c r="S6" s="5"/>
    </row>
    <row r="7" spans="2:19" ht="16" x14ac:dyDescent="0.2">
      <c r="B7" s="13">
        <v>45992</v>
      </c>
      <c r="C7" s="14" t="str">
        <f>TEXT(B7, "dddd")</f>
        <v>Monday</v>
      </c>
      <c r="D7" s="15">
        <v>3</v>
      </c>
      <c r="E7" s="74"/>
      <c r="F7" s="15" t="s">
        <v>9</v>
      </c>
      <c r="G7" s="44" t="s">
        <v>138</v>
      </c>
      <c r="H7" s="16">
        <v>45992</v>
      </c>
      <c r="I7" s="5"/>
      <c r="J7" s="5"/>
      <c r="K7" s="5"/>
      <c r="L7" s="5"/>
      <c r="M7" s="5"/>
      <c r="N7" s="5"/>
      <c r="O7" s="5"/>
      <c r="P7" s="4"/>
      <c r="Q7" s="5"/>
      <c r="R7" s="4"/>
      <c r="S7" s="5"/>
    </row>
    <row r="8" spans="2:19" ht="32" x14ac:dyDescent="0.2">
      <c r="B8" s="13">
        <v>45992</v>
      </c>
      <c r="C8" s="14" t="str">
        <f>TEXT(B8, "dddd")</f>
        <v>Monday</v>
      </c>
      <c r="D8" s="15">
        <v>4</v>
      </c>
      <c r="E8" s="74"/>
      <c r="F8" s="15" t="s">
        <v>7</v>
      </c>
      <c r="G8" s="44" t="s">
        <v>138</v>
      </c>
      <c r="H8" s="16">
        <v>45992</v>
      </c>
      <c r="I8" s="5"/>
      <c r="J8" s="5"/>
      <c r="K8" s="5"/>
      <c r="L8" s="5"/>
      <c r="M8" s="5"/>
      <c r="N8" s="5"/>
      <c r="O8" s="5"/>
      <c r="P8" s="5"/>
      <c r="Q8" s="5"/>
      <c r="R8" s="4"/>
      <c r="S8" s="5"/>
    </row>
    <row r="9" spans="2:19" ht="16" x14ac:dyDescent="0.2">
      <c r="B9" s="13">
        <v>45992</v>
      </c>
      <c r="C9" s="14" t="str">
        <f>TEXT(B9, "dddd")</f>
        <v>Monday</v>
      </c>
      <c r="D9" s="15">
        <v>5</v>
      </c>
      <c r="E9" s="74"/>
      <c r="F9" s="15" t="s">
        <v>8</v>
      </c>
      <c r="G9" s="44" t="s">
        <v>138</v>
      </c>
      <c r="H9" s="16">
        <v>45992</v>
      </c>
      <c r="I9" s="3"/>
      <c r="J9" s="3"/>
      <c r="K9" s="3"/>
      <c r="L9" s="3"/>
      <c r="M9" s="3"/>
      <c r="N9" s="4"/>
      <c r="O9" s="5"/>
      <c r="P9" s="4"/>
      <c r="Q9" s="5"/>
      <c r="R9" s="4"/>
      <c r="S9" s="5"/>
    </row>
    <row r="10" spans="2:19" ht="16" x14ac:dyDescent="0.2">
      <c r="B10" s="13">
        <v>45992</v>
      </c>
      <c r="C10" s="14" t="str">
        <f>TEXT(B10, "dddd")</f>
        <v>Monday</v>
      </c>
      <c r="D10" s="15">
        <v>5</v>
      </c>
      <c r="E10" s="74"/>
      <c r="F10" s="15" t="s">
        <v>6</v>
      </c>
      <c r="G10" s="44" t="s">
        <v>138</v>
      </c>
      <c r="H10" s="16">
        <v>45992</v>
      </c>
      <c r="I10" s="5"/>
      <c r="J10" s="5"/>
      <c r="K10" s="5"/>
      <c r="L10" s="5"/>
      <c r="M10" s="5"/>
      <c r="N10" s="5"/>
      <c r="O10" s="5"/>
      <c r="P10" s="5"/>
      <c r="Q10" s="5"/>
      <c r="R10" s="4"/>
      <c r="S10" s="5"/>
    </row>
    <row r="11" spans="2:19" ht="16" x14ac:dyDescent="0.2">
      <c r="B11" s="13">
        <v>45992</v>
      </c>
      <c r="C11" s="14" t="str">
        <f>TEXT(B11, "dddd")</f>
        <v>Monday</v>
      </c>
      <c r="D11" s="15">
        <v>6</v>
      </c>
      <c r="E11" s="74"/>
      <c r="F11" s="15" t="s">
        <v>23</v>
      </c>
      <c r="G11" s="44" t="s">
        <v>137</v>
      </c>
      <c r="H11" s="16">
        <v>45992</v>
      </c>
      <c r="I11" s="5"/>
      <c r="J11" s="5"/>
      <c r="K11" s="5"/>
      <c r="L11" s="5"/>
      <c r="M11" s="5"/>
      <c r="N11" s="5"/>
      <c r="O11" s="5"/>
      <c r="P11" s="5"/>
      <c r="Q11" s="5"/>
      <c r="R11" s="4"/>
      <c r="S11" s="5"/>
    </row>
    <row r="12" spans="2:19" ht="16" x14ac:dyDescent="0.2">
      <c r="B12" s="13">
        <v>45992</v>
      </c>
      <c r="C12" s="15" t="str">
        <f>IF(ISBLANK(B12),"",TEXT(B12, "dddd"))</f>
        <v>Monday</v>
      </c>
      <c r="D12" s="15">
        <v>6</v>
      </c>
      <c r="E12" s="74"/>
      <c r="F12" s="15" t="s">
        <v>11</v>
      </c>
      <c r="G12" s="44" t="s">
        <v>140</v>
      </c>
      <c r="H12" s="16">
        <v>45992</v>
      </c>
      <c r="I12" s="5"/>
      <c r="J12" s="5"/>
      <c r="K12" s="5"/>
      <c r="L12" s="5"/>
      <c r="M12" s="5"/>
      <c r="N12" s="5"/>
      <c r="O12" s="5"/>
      <c r="P12" s="5"/>
      <c r="Q12" s="5"/>
      <c r="R12" s="4"/>
      <c r="S12" s="5"/>
    </row>
    <row r="13" spans="2:19" ht="16" x14ac:dyDescent="0.2">
      <c r="B13" s="13">
        <v>45994</v>
      </c>
      <c r="C13" s="15" t="str">
        <f>IF(ISBLANK(B13),"",TEXT(B13, "dddd"))</f>
        <v>Wednesday</v>
      </c>
      <c r="D13" s="15">
        <v>1</v>
      </c>
      <c r="E13" s="74"/>
      <c r="F13" s="15" t="s">
        <v>19</v>
      </c>
      <c r="G13" s="44" t="s">
        <v>138</v>
      </c>
      <c r="H13" s="16">
        <v>45994</v>
      </c>
      <c r="I13" s="5"/>
      <c r="J13" s="5"/>
      <c r="K13" s="5"/>
      <c r="L13" s="5"/>
      <c r="M13" s="5"/>
      <c r="N13" s="5"/>
      <c r="O13" s="5"/>
      <c r="P13" s="5"/>
      <c r="Q13" s="5"/>
      <c r="R13" s="4"/>
      <c r="S13" s="5"/>
    </row>
    <row r="14" spans="2:19" ht="16" x14ac:dyDescent="0.2">
      <c r="B14" s="13">
        <v>45994</v>
      </c>
      <c r="C14" s="15" t="str">
        <f>IF(ISBLANK(B14),"",TEXT(B14, "dddd"))</f>
        <v>Wednesday</v>
      </c>
      <c r="D14" s="15">
        <v>1.5</v>
      </c>
      <c r="E14" s="74"/>
      <c r="F14" s="15" t="s">
        <v>25</v>
      </c>
      <c r="G14" s="44" t="s">
        <v>138</v>
      </c>
      <c r="H14" s="16">
        <v>45994</v>
      </c>
      <c r="I14" s="5"/>
      <c r="J14" s="5"/>
      <c r="K14" s="5"/>
      <c r="L14" s="5"/>
      <c r="M14" s="5"/>
      <c r="N14" s="5"/>
      <c r="O14" s="5"/>
      <c r="P14" s="4"/>
      <c r="Q14" s="5"/>
      <c r="R14" s="4"/>
      <c r="S14" s="5"/>
    </row>
    <row r="15" spans="2:19" ht="16" x14ac:dyDescent="0.2">
      <c r="B15" s="39">
        <v>45994</v>
      </c>
      <c r="C15" s="15" t="str">
        <f>IF(ISBLANK(B15),"",TEXT(B15, "dddd"))</f>
        <v>Wednesday</v>
      </c>
      <c r="D15" s="38">
        <v>2</v>
      </c>
      <c r="E15" s="75"/>
      <c r="F15" s="38" t="s">
        <v>26</v>
      </c>
      <c r="G15" s="44" t="s">
        <v>138</v>
      </c>
      <c r="H15" s="40">
        <v>45994</v>
      </c>
      <c r="I15" s="5"/>
      <c r="J15" s="5"/>
      <c r="K15" s="5"/>
      <c r="L15" s="5"/>
      <c r="M15" s="5"/>
      <c r="N15" s="5"/>
      <c r="O15" s="5"/>
      <c r="P15" s="4"/>
      <c r="Q15" s="5"/>
      <c r="R15" s="4"/>
      <c r="S15" s="5"/>
    </row>
    <row r="16" spans="2:19" ht="16" x14ac:dyDescent="0.2">
      <c r="B16" s="13">
        <v>45994</v>
      </c>
      <c r="C16" s="15" t="str">
        <f>IF(ISBLANK(B16),"",TEXT(B16, "dddd"))</f>
        <v>Wednesday</v>
      </c>
      <c r="D16" s="15">
        <v>2</v>
      </c>
      <c r="E16" s="74"/>
      <c r="F16" s="15" t="s">
        <v>134</v>
      </c>
      <c r="G16" s="44" t="s">
        <v>138</v>
      </c>
      <c r="H16" s="16">
        <v>45994</v>
      </c>
      <c r="I16" s="5"/>
      <c r="J16" s="5"/>
      <c r="K16" s="5"/>
      <c r="L16" s="5"/>
      <c r="M16" s="5"/>
      <c r="N16" s="5"/>
      <c r="O16" s="5"/>
      <c r="P16" s="4"/>
      <c r="Q16" s="5"/>
      <c r="R16" s="4"/>
      <c r="S16" s="5"/>
    </row>
    <row r="17" spans="2:19" ht="16" x14ac:dyDescent="0.2">
      <c r="B17" s="13">
        <v>45994</v>
      </c>
      <c r="C17" s="15" t="str">
        <f>IF(ISBLANK(B17),"",TEXT(B17, "dddd"))</f>
        <v>Wednesday</v>
      </c>
      <c r="D17" s="15">
        <v>3</v>
      </c>
      <c r="E17" s="74"/>
      <c r="F17" s="15" t="s">
        <v>27</v>
      </c>
      <c r="G17" s="44" t="s">
        <v>140</v>
      </c>
      <c r="H17" s="16">
        <v>45994</v>
      </c>
      <c r="I17" s="5"/>
      <c r="J17" s="5"/>
      <c r="K17" s="5"/>
      <c r="L17" s="5"/>
      <c r="M17" s="5"/>
      <c r="N17" s="5"/>
      <c r="O17" s="5"/>
      <c r="P17" s="4"/>
      <c r="Q17" s="5"/>
      <c r="R17" s="4"/>
      <c r="S17" s="5"/>
    </row>
    <row r="18" spans="2:19" s="42" customFormat="1" ht="16" x14ac:dyDescent="0.2">
      <c r="B18" s="13">
        <v>45994</v>
      </c>
      <c r="C18" s="15" t="str">
        <f>IF(ISBLANK(B18),"",TEXT(B18, "dddd"))</f>
        <v>Wednesday</v>
      </c>
      <c r="D18" s="15">
        <v>3</v>
      </c>
      <c r="E18" s="74"/>
      <c r="F18" s="15" t="s">
        <v>29</v>
      </c>
      <c r="G18" s="44" t="s">
        <v>140</v>
      </c>
      <c r="H18" s="16">
        <v>45994</v>
      </c>
      <c r="I18" s="3"/>
      <c r="J18" s="3"/>
      <c r="K18" s="3"/>
      <c r="L18" s="3"/>
      <c r="M18" s="3"/>
      <c r="N18" s="3"/>
      <c r="O18" s="3"/>
      <c r="P18" s="3"/>
      <c r="Q18" s="3"/>
      <c r="R18" s="41"/>
      <c r="S18" s="3"/>
    </row>
    <row r="19" spans="2:19" ht="16" x14ac:dyDescent="0.2">
      <c r="B19" s="13">
        <v>45994</v>
      </c>
      <c r="C19" s="15" t="str">
        <f>IF(ISBLANK(B19),"",TEXT(B19, "dddd"))</f>
        <v>Wednesday</v>
      </c>
      <c r="D19" s="15">
        <v>4</v>
      </c>
      <c r="E19" s="74"/>
      <c r="F19" s="15" t="s">
        <v>22</v>
      </c>
      <c r="G19" s="44" t="s">
        <v>137</v>
      </c>
      <c r="H19" s="16">
        <v>45994</v>
      </c>
      <c r="I19" s="5"/>
      <c r="J19" s="5"/>
      <c r="K19" s="5"/>
      <c r="L19" s="5"/>
      <c r="M19" s="5"/>
      <c r="N19" s="5"/>
      <c r="O19" s="5"/>
      <c r="P19" s="5"/>
      <c r="Q19" s="5"/>
      <c r="R19" s="4"/>
      <c r="S19" s="5"/>
    </row>
    <row r="20" spans="2:19" ht="16" x14ac:dyDescent="0.2">
      <c r="B20" s="13">
        <v>45994</v>
      </c>
      <c r="C20" s="15" t="str">
        <f>IF(ISBLANK(B20),"",TEXT(B20, "dddd"))</f>
        <v>Wednesday</v>
      </c>
      <c r="D20" s="15">
        <v>5</v>
      </c>
      <c r="E20" s="74"/>
      <c r="F20" s="15" t="s">
        <v>24</v>
      </c>
      <c r="G20" s="44" t="s">
        <v>140</v>
      </c>
      <c r="H20" s="16">
        <v>45994</v>
      </c>
      <c r="I20" s="5"/>
      <c r="J20" s="5"/>
      <c r="K20" s="5"/>
      <c r="L20" s="5"/>
      <c r="M20" s="5"/>
      <c r="N20" s="5"/>
      <c r="O20" s="5"/>
      <c r="P20" s="5"/>
      <c r="Q20" s="5"/>
      <c r="R20" s="4"/>
      <c r="S20" s="5"/>
    </row>
    <row r="21" spans="2:19" ht="16" x14ac:dyDescent="0.2">
      <c r="B21" s="13">
        <v>45995</v>
      </c>
      <c r="C21" s="15" t="str">
        <f>IF(ISBLANK(B21),"",TEXT(B21, "dddd"))</f>
        <v>Thursday</v>
      </c>
      <c r="D21" s="15">
        <v>1</v>
      </c>
      <c r="E21" s="74"/>
      <c r="F21" s="15" t="s">
        <v>21</v>
      </c>
      <c r="G21" s="44" t="s">
        <v>139</v>
      </c>
      <c r="H21" s="16">
        <v>45995</v>
      </c>
      <c r="I21" s="5"/>
      <c r="J21" s="5"/>
      <c r="K21" s="5"/>
      <c r="L21" s="5"/>
      <c r="M21" s="5"/>
      <c r="N21" s="5"/>
      <c r="O21" s="5"/>
      <c r="P21" s="5"/>
      <c r="Q21" s="5"/>
      <c r="R21" s="4"/>
      <c r="S21" s="5"/>
    </row>
    <row r="22" spans="2:19" ht="16" x14ac:dyDescent="0.2">
      <c r="B22" s="13">
        <v>45995</v>
      </c>
      <c r="C22" s="15" t="str">
        <f>IF(ISBLANK(B22),"",TEXT(B22, "dddd"))</f>
        <v>Thursday</v>
      </c>
      <c r="D22" s="15">
        <v>1.5</v>
      </c>
      <c r="E22" s="74"/>
      <c r="F22" s="15" t="s">
        <v>18</v>
      </c>
      <c r="G22" s="44" t="s">
        <v>139</v>
      </c>
      <c r="H22" s="16">
        <v>45995</v>
      </c>
      <c r="I22" s="5"/>
      <c r="J22" s="5"/>
      <c r="K22" s="5"/>
      <c r="L22" s="5"/>
      <c r="M22" s="5"/>
      <c r="N22" s="5"/>
      <c r="O22" s="5"/>
      <c r="P22" s="4"/>
      <c r="Q22" s="5"/>
      <c r="R22" s="4"/>
      <c r="S22" s="5"/>
    </row>
    <row r="23" spans="2:19" ht="32" x14ac:dyDescent="0.2">
      <c r="B23" s="13">
        <v>45995</v>
      </c>
      <c r="C23" s="15" t="str">
        <f>IF(ISBLANK(B23),"",TEXT(B23, "dddd"))</f>
        <v>Thursday</v>
      </c>
      <c r="D23" s="15">
        <v>2</v>
      </c>
      <c r="E23" s="74"/>
      <c r="F23" s="15" t="s">
        <v>135</v>
      </c>
      <c r="G23" s="44" t="s">
        <v>138</v>
      </c>
      <c r="H23" s="16">
        <v>45995</v>
      </c>
      <c r="I23" s="5"/>
      <c r="J23" s="5"/>
      <c r="K23" s="5"/>
      <c r="L23" s="5"/>
      <c r="M23" s="5"/>
      <c r="N23" s="5"/>
      <c r="O23" s="5"/>
      <c r="P23" s="4"/>
      <c r="Q23" s="5"/>
      <c r="R23" s="4"/>
      <c r="S23" s="5"/>
    </row>
    <row r="24" spans="2:19" ht="16" x14ac:dyDescent="0.2">
      <c r="B24" s="13">
        <v>45995</v>
      </c>
      <c r="C24" s="15" t="str">
        <f>IF(ISBLANK(B24),"",TEXT(B24, "dddd"))</f>
        <v>Thursday</v>
      </c>
      <c r="D24" s="15">
        <v>4</v>
      </c>
      <c r="E24" s="74"/>
      <c r="F24" s="15" t="s">
        <v>131</v>
      </c>
      <c r="G24" s="44" t="s">
        <v>137</v>
      </c>
      <c r="H24" s="16">
        <v>45995</v>
      </c>
      <c r="I24" s="5"/>
      <c r="J24" s="5"/>
      <c r="K24" s="5"/>
      <c r="L24" s="5"/>
      <c r="M24" s="5"/>
      <c r="N24" s="5"/>
      <c r="O24" s="5"/>
      <c r="P24" s="4"/>
      <c r="Q24" s="5"/>
      <c r="R24" s="4"/>
      <c r="S24" s="5"/>
    </row>
    <row r="25" spans="2:19" ht="16" x14ac:dyDescent="0.2">
      <c r="B25" s="13">
        <v>45995</v>
      </c>
      <c r="C25" s="15" t="str">
        <f>IF(ISBLANK(B25),"",TEXT(B25, "dddd"))</f>
        <v>Thursday</v>
      </c>
      <c r="D25" s="15">
        <v>5</v>
      </c>
      <c r="E25" s="74"/>
      <c r="F25" s="15" t="s">
        <v>141</v>
      </c>
      <c r="G25" s="44" t="s">
        <v>140</v>
      </c>
      <c r="H25" s="16">
        <v>45995</v>
      </c>
      <c r="I25" s="5"/>
      <c r="J25" s="5"/>
      <c r="K25" s="5"/>
      <c r="L25" s="5"/>
      <c r="M25" s="5"/>
      <c r="N25" s="5"/>
      <c r="O25" s="5"/>
      <c r="P25" s="5"/>
      <c r="Q25" s="5"/>
      <c r="R25" s="4"/>
      <c r="S25" s="5"/>
    </row>
    <row r="26" spans="2:19" ht="32" x14ac:dyDescent="0.2">
      <c r="B26" s="13">
        <v>45995</v>
      </c>
      <c r="C26" s="15" t="str">
        <f>IF(ISBLANK(B26),"",TEXT(B26, "dddd"))</f>
        <v>Thursday</v>
      </c>
      <c r="D26" s="15">
        <v>6</v>
      </c>
      <c r="E26" s="74"/>
      <c r="F26" s="15" t="s">
        <v>28</v>
      </c>
      <c r="G26" s="44" t="s">
        <v>139</v>
      </c>
      <c r="H26" s="16">
        <v>45995</v>
      </c>
      <c r="I26" s="5"/>
      <c r="J26" s="5"/>
      <c r="K26" s="5"/>
      <c r="L26" s="5"/>
      <c r="M26" s="5"/>
      <c r="N26" s="5"/>
      <c r="O26" s="5"/>
      <c r="P26" s="5"/>
      <c r="Q26" s="5"/>
      <c r="R26" s="4"/>
      <c r="S26" s="5"/>
    </row>
    <row r="27" spans="2:19" ht="16" x14ac:dyDescent="0.2">
      <c r="B27" s="13">
        <v>45995</v>
      </c>
      <c r="C27" s="15" t="str">
        <f>IF(ISBLANK(B27),"",TEXT(B27, "dddd"))</f>
        <v>Thursday</v>
      </c>
      <c r="D27" s="15"/>
      <c r="E27" s="74"/>
      <c r="F27" s="15" t="s">
        <v>143</v>
      </c>
      <c r="G27" s="44"/>
      <c r="H27" s="16">
        <v>45995</v>
      </c>
      <c r="I27" s="3"/>
      <c r="J27" s="3"/>
      <c r="K27" s="3"/>
      <c r="L27" s="3"/>
      <c r="M27" s="3"/>
      <c r="N27" s="4"/>
      <c r="O27" s="5"/>
      <c r="P27" s="4"/>
      <c r="Q27" s="5"/>
      <c r="R27" s="4"/>
      <c r="S27" s="5"/>
    </row>
    <row r="28" spans="2:19" ht="16" x14ac:dyDescent="0.2">
      <c r="B28" s="13">
        <v>45996</v>
      </c>
      <c r="C28" s="15" t="str">
        <f>IF(ISBLANK(B28),"",TEXT(B28, "dddd"))</f>
        <v>Friday</v>
      </c>
      <c r="D28" s="15">
        <v>1</v>
      </c>
      <c r="E28" s="74"/>
      <c r="F28" s="15" t="s">
        <v>136</v>
      </c>
      <c r="G28" s="44" t="s">
        <v>137</v>
      </c>
      <c r="H28" s="16">
        <v>45996</v>
      </c>
      <c r="I28" s="3"/>
      <c r="J28" s="3"/>
      <c r="K28" s="3"/>
      <c r="L28" s="3"/>
      <c r="M28" s="3"/>
      <c r="N28" s="4"/>
      <c r="O28" s="5"/>
      <c r="P28" s="4"/>
      <c r="Q28" s="5"/>
      <c r="R28" s="4"/>
      <c r="S28" s="5"/>
    </row>
    <row r="29" spans="2:19" ht="16" x14ac:dyDescent="0.2">
      <c r="B29" s="13">
        <v>45996</v>
      </c>
      <c r="C29" s="15" t="str">
        <f>IF(ISBLANK(B29),"",TEXT(B29, "dddd"))</f>
        <v>Friday</v>
      </c>
      <c r="D29" s="15">
        <v>1</v>
      </c>
      <c r="E29" s="74"/>
      <c r="F29" s="15" t="s">
        <v>144</v>
      </c>
      <c r="G29" s="44" t="s">
        <v>137</v>
      </c>
      <c r="H29" s="16">
        <v>46000</v>
      </c>
      <c r="I29" s="5"/>
      <c r="J29" s="5"/>
      <c r="K29" s="5"/>
      <c r="L29" s="5"/>
      <c r="M29" s="5"/>
      <c r="N29" s="5"/>
      <c r="O29" s="5"/>
      <c r="P29" s="4"/>
      <c r="Q29" s="5"/>
      <c r="R29" s="4"/>
      <c r="S29" s="5"/>
    </row>
    <row r="30" spans="2:19" ht="16" x14ac:dyDescent="0.2">
      <c r="B30" s="13">
        <v>45996</v>
      </c>
      <c r="C30" s="15" t="str">
        <f>IF(ISBLANK(B30),"",TEXT(B30, "dddd"))</f>
        <v>Friday</v>
      </c>
      <c r="D30" s="15">
        <v>1</v>
      </c>
      <c r="E30" s="74"/>
      <c r="F30" s="15" t="s">
        <v>132</v>
      </c>
      <c r="G30" s="44" t="s">
        <v>137</v>
      </c>
      <c r="H30" s="16">
        <v>46000</v>
      </c>
      <c r="I30" s="5"/>
      <c r="J30" s="5"/>
      <c r="K30" s="5"/>
      <c r="L30" s="5"/>
      <c r="M30" s="5"/>
      <c r="N30" s="5"/>
      <c r="O30" s="5"/>
      <c r="P30" s="4"/>
      <c r="Q30" s="5"/>
      <c r="R30" s="4"/>
      <c r="S30" s="5"/>
    </row>
    <row r="31" spans="2:19" ht="16" x14ac:dyDescent="0.2">
      <c r="B31" s="13">
        <v>45996</v>
      </c>
      <c r="C31" s="15" t="str">
        <f>IF(ISBLANK(B31),"",TEXT(B31, "dddd"))</f>
        <v>Friday</v>
      </c>
      <c r="D31" s="15">
        <v>1.5</v>
      </c>
      <c r="E31" s="74"/>
      <c r="F31" s="15" t="s">
        <v>145</v>
      </c>
      <c r="G31" s="44" t="s">
        <v>140</v>
      </c>
      <c r="H31" s="16">
        <v>46000</v>
      </c>
      <c r="I31" s="5"/>
      <c r="J31" s="5"/>
      <c r="K31" s="5"/>
      <c r="L31" s="5"/>
      <c r="M31" s="5"/>
      <c r="N31" s="5"/>
      <c r="O31" s="5"/>
      <c r="P31" s="4"/>
      <c r="Q31" s="5"/>
      <c r="R31" s="4"/>
      <c r="S31" s="5"/>
    </row>
    <row r="32" spans="2:19" ht="16" x14ac:dyDescent="0.2">
      <c r="B32" s="13">
        <v>45996</v>
      </c>
      <c r="C32" s="15" t="str">
        <f>IF(ISBLANK(B32),"",TEXT(B32, "dddd"))</f>
        <v>Friday</v>
      </c>
      <c r="D32" s="15"/>
      <c r="E32" s="74"/>
      <c r="F32" s="15" t="s">
        <v>146</v>
      </c>
      <c r="G32" s="44" t="s">
        <v>137</v>
      </c>
      <c r="H32" s="16">
        <v>45996</v>
      </c>
      <c r="I32" s="5"/>
      <c r="J32" s="5"/>
      <c r="K32" s="5"/>
      <c r="L32" s="5"/>
      <c r="M32" s="5"/>
      <c r="N32" s="5"/>
      <c r="O32" s="5"/>
      <c r="P32" s="5"/>
      <c r="Q32" s="5"/>
      <c r="R32" s="4"/>
      <c r="S32" s="5"/>
    </row>
    <row r="33" spans="2:8" ht="16" x14ac:dyDescent="0.2">
      <c r="B33" s="13">
        <v>45999</v>
      </c>
      <c r="C33" s="15" t="str">
        <f>IF(ISBLANK(B33),"",TEXT(B33, "dddd"))</f>
        <v>Monday</v>
      </c>
      <c r="D33" s="15">
        <v>3</v>
      </c>
      <c r="E33" s="44"/>
      <c r="F33" s="15" t="s">
        <v>15</v>
      </c>
      <c r="G33" s="44"/>
      <c r="H33" s="17"/>
    </row>
    <row r="34" spans="2:8" ht="16" x14ac:dyDescent="0.2">
      <c r="B34" s="13">
        <v>45999</v>
      </c>
      <c r="C34" s="15" t="str">
        <f>IF(ISBLANK(B34),"",TEXT(B34, "dddd"))</f>
        <v>Monday</v>
      </c>
      <c r="D34" s="15">
        <v>3</v>
      </c>
      <c r="E34" s="44"/>
      <c r="F34" s="15" t="s">
        <v>12</v>
      </c>
      <c r="G34" s="44"/>
      <c r="H34" s="17"/>
    </row>
    <row r="35" spans="2:8" ht="16" x14ac:dyDescent="0.2">
      <c r="B35" s="13">
        <v>45999</v>
      </c>
      <c r="C35" s="15" t="str">
        <f>IF(ISBLANK(B35),"",TEXT(B35, "dddd"))</f>
        <v>Monday</v>
      </c>
      <c r="D35" s="15">
        <v>4</v>
      </c>
      <c r="E35" s="44"/>
      <c r="F35" s="15" t="s">
        <v>13</v>
      </c>
      <c r="G35" s="44"/>
      <c r="H35" s="17"/>
    </row>
    <row r="36" spans="2:8" ht="32" x14ac:dyDescent="0.2">
      <c r="B36" s="13">
        <v>45999</v>
      </c>
      <c r="C36" s="15" t="str">
        <f>IF(ISBLANK(B36),"",TEXT(B36, "dddd"))</f>
        <v>Monday</v>
      </c>
      <c r="D36" s="15">
        <v>5</v>
      </c>
      <c r="E36" s="44"/>
      <c r="F36" s="15" t="s">
        <v>14</v>
      </c>
      <c r="G36" s="44"/>
      <c r="H36" s="17"/>
    </row>
    <row r="37" spans="2:8" ht="16" x14ac:dyDescent="0.2">
      <c r="B37" s="13">
        <v>46000</v>
      </c>
      <c r="C37" s="15" t="str">
        <f>IF(ISBLANK(B37),"",TEXT(B37, "dddd"))</f>
        <v>Tuesday</v>
      </c>
      <c r="D37" s="15"/>
      <c r="E37" s="74"/>
      <c r="F37" s="15" t="s">
        <v>147</v>
      </c>
      <c r="G37" s="44" t="s">
        <v>140</v>
      </c>
      <c r="H37" s="16">
        <v>46000</v>
      </c>
    </row>
    <row r="38" spans="2:8" ht="16" x14ac:dyDescent="0.2">
      <c r="B38" s="13">
        <v>46001</v>
      </c>
      <c r="C38" s="15" t="str">
        <f>IF(ISBLANK(B38),"",TEXT(B38, "dddd"))</f>
        <v>Wednesday</v>
      </c>
      <c r="D38" s="15">
        <v>1</v>
      </c>
      <c r="E38" s="74"/>
      <c r="F38" s="15" t="s">
        <v>149</v>
      </c>
      <c r="G38" s="44" t="s">
        <v>139</v>
      </c>
      <c r="H38" s="16">
        <v>46001</v>
      </c>
    </row>
    <row r="39" spans="2:8" ht="16" x14ac:dyDescent="0.2">
      <c r="B39" s="13">
        <v>46001</v>
      </c>
      <c r="C39" s="15" t="str">
        <f>IF(ISBLANK(B39),"",TEXT(B39, "dddd"))</f>
        <v>Wednesday</v>
      </c>
      <c r="D39" s="15">
        <v>2</v>
      </c>
      <c r="E39" s="74"/>
      <c r="F39" s="15" t="s">
        <v>151</v>
      </c>
      <c r="G39" s="44" t="s">
        <v>137</v>
      </c>
      <c r="H39" s="16">
        <v>46001</v>
      </c>
    </row>
    <row r="40" spans="2:8" ht="16" x14ac:dyDescent="0.2">
      <c r="B40" s="13">
        <v>46001</v>
      </c>
      <c r="C40" s="15" t="str">
        <f>IF(ISBLANK(B40),"",TEXT(B40, "dddd"))</f>
        <v>Wednesday</v>
      </c>
      <c r="D40" s="15">
        <v>2.1</v>
      </c>
      <c r="E40" s="74"/>
      <c r="F40" s="15" t="s">
        <v>152</v>
      </c>
      <c r="G40" s="44" t="s">
        <v>137</v>
      </c>
      <c r="H40" s="16">
        <v>46001</v>
      </c>
    </row>
    <row r="41" spans="2:8" ht="16" x14ac:dyDescent="0.2">
      <c r="B41" s="13">
        <v>46001</v>
      </c>
      <c r="C41" s="15" t="str">
        <f>IF(ISBLANK(B41),"",TEXT(B41, "dddd"))</f>
        <v>Wednesday</v>
      </c>
      <c r="D41" s="15">
        <v>2.2000000000000002</v>
      </c>
      <c r="E41" s="74"/>
      <c r="F41" s="15" t="s">
        <v>153</v>
      </c>
      <c r="G41" s="44" t="s">
        <v>137</v>
      </c>
      <c r="H41" s="16">
        <v>46001</v>
      </c>
    </row>
    <row r="42" spans="2:8" ht="16" x14ac:dyDescent="0.2">
      <c r="B42" s="13">
        <v>46001</v>
      </c>
      <c r="C42" s="15" t="str">
        <f>IF(ISBLANK(B42),"",TEXT(B42, "dddd"))</f>
        <v>Wednesday</v>
      </c>
      <c r="D42" s="15">
        <v>2.2999999999999998</v>
      </c>
      <c r="E42" s="74"/>
      <c r="F42" s="15" t="s">
        <v>154</v>
      </c>
      <c r="G42" s="44" t="s">
        <v>137</v>
      </c>
      <c r="H42" s="16">
        <v>46002</v>
      </c>
    </row>
    <row r="43" spans="2:8" ht="16" x14ac:dyDescent="0.2">
      <c r="B43" s="13">
        <v>46001</v>
      </c>
      <c r="C43" s="15" t="str">
        <f>IF(ISBLANK(B43),"",TEXT(B43, "dddd"))</f>
        <v>Wednesday</v>
      </c>
      <c r="D43" s="15">
        <v>2.4</v>
      </c>
      <c r="E43" s="74"/>
      <c r="F43" s="15" t="s">
        <v>155</v>
      </c>
      <c r="G43" s="44" t="s">
        <v>137</v>
      </c>
      <c r="H43" s="16">
        <v>46002</v>
      </c>
    </row>
    <row r="44" spans="2:8" ht="16" x14ac:dyDescent="0.2">
      <c r="B44" s="13">
        <v>46001</v>
      </c>
      <c r="C44" s="15" t="str">
        <f>IF(ISBLANK(B44),"",TEXT(B44, "dddd"))</f>
        <v>Wednesday</v>
      </c>
      <c r="D44" s="15">
        <v>2.4500000000000002</v>
      </c>
      <c r="E44" s="74"/>
      <c r="F44" s="15" t="s">
        <v>176</v>
      </c>
      <c r="G44" s="44"/>
      <c r="H44" s="16"/>
    </row>
    <row r="45" spans="2:8" ht="16" x14ac:dyDescent="0.2">
      <c r="B45" s="13">
        <v>46001</v>
      </c>
      <c r="C45" s="15" t="str">
        <f>IF(ISBLANK(B45),"",TEXT(B45, "dddd"))</f>
        <v>Wednesday</v>
      </c>
      <c r="D45" s="15">
        <v>2.5</v>
      </c>
      <c r="E45" s="74"/>
      <c r="F45" s="15" t="s">
        <v>156</v>
      </c>
      <c r="G45" s="44" t="s">
        <v>137</v>
      </c>
      <c r="H45" s="16"/>
    </row>
    <row r="46" spans="2:8" ht="16" x14ac:dyDescent="0.2">
      <c r="B46" s="13">
        <v>46001</v>
      </c>
      <c r="C46" s="15" t="str">
        <f>IF(ISBLANK(B46),"",TEXT(B46, "dddd"))</f>
        <v>Wednesday</v>
      </c>
      <c r="D46" s="15">
        <v>2.6</v>
      </c>
      <c r="E46" s="44"/>
      <c r="F46" s="15" t="s">
        <v>148</v>
      </c>
      <c r="G46" s="44" t="s">
        <v>30</v>
      </c>
      <c r="H46" s="17"/>
    </row>
    <row r="47" spans="2:8" ht="16" x14ac:dyDescent="0.2">
      <c r="B47" s="13">
        <v>46001</v>
      </c>
      <c r="C47" s="15" t="str">
        <f>IF(ISBLANK(B47),"",TEXT(B47, "dddd"))</f>
        <v>Wednesday</v>
      </c>
      <c r="D47" s="15">
        <v>8</v>
      </c>
      <c r="E47" s="74"/>
      <c r="F47" s="15" t="s">
        <v>150</v>
      </c>
      <c r="G47" s="44" t="s">
        <v>157</v>
      </c>
      <c r="H47" s="16">
        <v>46001</v>
      </c>
    </row>
    <row r="48" spans="2:8" ht="16" x14ac:dyDescent="0.2">
      <c r="B48" s="13">
        <v>46002</v>
      </c>
      <c r="C48" s="15" t="str">
        <f>IF(ISBLANK(B48),"",TEXT(B48, "dddd"))</f>
        <v>Thursday</v>
      </c>
      <c r="D48" s="15">
        <v>1</v>
      </c>
      <c r="E48" s="44"/>
      <c r="F48" s="15" t="s">
        <v>160</v>
      </c>
      <c r="G48" s="44" t="s">
        <v>170</v>
      </c>
      <c r="H48" s="17"/>
    </row>
    <row r="49" spans="2:8" ht="16" x14ac:dyDescent="0.2">
      <c r="B49" s="13">
        <v>46003</v>
      </c>
      <c r="C49" s="15" t="str">
        <f>IF(ISBLANK(B49),"",TEXT(B49, "dddd"))</f>
        <v>Friday</v>
      </c>
      <c r="D49" s="15">
        <v>1</v>
      </c>
      <c r="E49" s="74"/>
      <c r="F49" s="15" t="s">
        <v>161</v>
      </c>
      <c r="G49" s="44" t="s">
        <v>139</v>
      </c>
      <c r="H49" s="16">
        <v>46003</v>
      </c>
    </row>
    <row r="50" spans="2:8" ht="16" x14ac:dyDescent="0.2">
      <c r="B50" s="13">
        <v>46006</v>
      </c>
      <c r="C50" s="15" t="str">
        <f>IF(ISBLANK(B50),"",TEXT(B50, "dddd"))</f>
        <v>Monday</v>
      </c>
      <c r="D50" s="15">
        <v>1.1000000000000001</v>
      </c>
      <c r="E50" s="74"/>
      <c r="F50" s="15" t="s">
        <v>158</v>
      </c>
      <c r="G50" s="44" t="s">
        <v>139</v>
      </c>
      <c r="H50" s="16">
        <v>46003</v>
      </c>
    </row>
    <row r="51" spans="2:8" ht="16" x14ac:dyDescent="0.2">
      <c r="B51" s="13">
        <v>46006</v>
      </c>
      <c r="C51" s="15" t="str">
        <f>IF(ISBLANK(B51),"",TEXT(B51, "dddd"))</f>
        <v>Monday</v>
      </c>
      <c r="D51" s="15">
        <v>1.2</v>
      </c>
      <c r="E51" s="74"/>
      <c r="F51" s="15" t="s">
        <v>159</v>
      </c>
      <c r="G51" s="44" t="s">
        <v>139</v>
      </c>
      <c r="H51" s="16">
        <v>46003</v>
      </c>
    </row>
    <row r="52" spans="2:8" ht="16" x14ac:dyDescent="0.2">
      <c r="B52" s="13">
        <v>46006</v>
      </c>
      <c r="C52" s="15" t="str">
        <f>IF(ISBLANK(B52),"",TEXT(B52, "dddd"))</f>
        <v>Monday</v>
      </c>
      <c r="D52" s="15">
        <v>2.1</v>
      </c>
      <c r="E52" s="74"/>
      <c r="F52" s="15" t="s">
        <v>162</v>
      </c>
      <c r="G52" s="44" t="s">
        <v>170</v>
      </c>
      <c r="H52" s="16">
        <v>46006</v>
      </c>
    </row>
    <row r="53" spans="2:8" ht="16" x14ac:dyDescent="0.2">
      <c r="B53" s="13">
        <v>46006</v>
      </c>
      <c r="C53" s="15" t="str">
        <f>IF(ISBLANK(B53),"",TEXT(B53, "dddd"))</f>
        <v>Monday</v>
      </c>
      <c r="D53" s="15">
        <v>2.2000000000000002</v>
      </c>
      <c r="E53" s="74"/>
      <c r="F53" s="15" t="s">
        <v>163</v>
      </c>
      <c r="G53" s="44" t="s">
        <v>170</v>
      </c>
      <c r="H53" s="16">
        <v>46006</v>
      </c>
    </row>
    <row r="54" spans="2:8" ht="16" x14ac:dyDescent="0.2">
      <c r="B54" s="13">
        <v>46006</v>
      </c>
      <c r="C54" s="15" t="str">
        <f>IF(ISBLANK(B54),"",TEXT(B54, "dddd"))</f>
        <v>Monday</v>
      </c>
      <c r="D54" s="15">
        <v>2.2999999999999998</v>
      </c>
      <c r="E54" s="74"/>
      <c r="F54" s="15" t="s">
        <v>164</v>
      </c>
      <c r="G54" s="44" t="s">
        <v>170</v>
      </c>
      <c r="H54" s="16">
        <v>46006</v>
      </c>
    </row>
    <row r="55" spans="2:8" ht="16" x14ac:dyDescent="0.2">
      <c r="B55" s="13">
        <v>46006</v>
      </c>
      <c r="C55" s="15" t="str">
        <f>IF(ISBLANK(B55),"",TEXT(B55, "dddd"))</f>
        <v>Monday</v>
      </c>
      <c r="D55" s="15">
        <v>3.1</v>
      </c>
      <c r="E55" s="74"/>
      <c r="F55" s="15" t="s">
        <v>165</v>
      </c>
      <c r="G55" s="44" t="s">
        <v>171</v>
      </c>
      <c r="H55" s="16">
        <v>46006</v>
      </c>
    </row>
    <row r="56" spans="2:8" ht="16" x14ac:dyDescent="0.2">
      <c r="B56" s="13">
        <v>46006</v>
      </c>
      <c r="C56" s="15" t="str">
        <f>IF(ISBLANK(B56),"",TEXT(B56, "dddd"))</f>
        <v>Monday</v>
      </c>
      <c r="D56" s="15">
        <v>3.2</v>
      </c>
      <c r="E56" s="74"/>
      <c r="F56" s="15" t="s">
        <v>172</v>
      </c>
      <c r="G56" s="44" t="s">
        <v>139</v>
      </c>
      <c r="H56" s="16">
        <v>46006</v>
      </c>
    </row>
    <row r="57" spans="2:8" ht="16" x14ac:dyDescent="0.2">
      <c r="B57" s="13">
        <v>46006</v>
      </c>
      <c r="C57" s="15" t="str">
        <f>IF(ISBLANK(B57),"",TEXT(B57, "dddd"))</f>
        <v>Monday</v>
      </c>
      <c r="D57" s="15">
        <v>4.0999999999999996</v>
      </c>
      <c r="E57" s="74"/>
      <c r="F57" s="15" t="s">
        <v>167</v>
      </c>
      <c r="G57" s="44" t="s">
        <v>139</v>
      </c>
      <c r="H57" s="16">
        <v>46006</v>
      </c>
    </row>
    <row r="58" spans="2:8" ht="16" x14ac:dyDescent="0.2">
      <c r="B58" s="13">
        <v>46006</v>
      </c>
      <c r="C58" s="15" t="str">
        <f>IF(ISBLANK(B58),"",TEXT(B58, "dddd"))</f>
        <v>Monday</v>
      </c>
      <c r="D58" s="15">
        <v>4.2</v>
      </c>
      <c r="E58" s="74"/>
      <c r="F58" s="15" t="s">
        <v>166</v>
      </c>
      <c r="G58" s="44" t="s">
        <v>139</v>
      </c>
      <c r="H58" s="16">
        <v>46006</v>
      </c>
    </row>
    <row r="59" spans="2:8" ht="16" x14ac:dyDescent="0.2">
      <c r="B59" s="13">
        <v>46006</v>
      </c>
      <c r="C59" s="15" t="str">
        <f>IF(ISBLANK(B59),"",TEXT(B59, "dddd"))</f>
        <v>Monday</v>
      </c>
      <c r="D59" s="15">
        <v>5.0999999999999996</v>
      </c>
      <c r="E59" s="74"/>
      <c r="F59" s="15" t="s">
        <v>173</v>
      </c>
      <c r="G59" s="44" t="s">
        <v>137</v>
      </c>
      <c r="H59" s="16">
        <v>46006</v>
      </c>
    </row>
    <row r="60" spans="2:8" ht="16" x14ac:dyDescent="0.2">
      <c r="B60" s="13">
        <v>46006</v>
      </c>
      <c r="C60" s="15" t="str">
        <f>IF(ISBLANK(B60),"",TEXT(B60, "dddd"))</f>
        <v>Monday</v>
      </c>
      <c r="D60" s="15">
        <v>5.2</v>
      </c>
      <c r="E60" s="74"/>
      <c r="F60" s="15" t="s">
        <v>177</v>
      </c>
      <c r="G60" s="44" t="s">
        <v>137</v>
      </c>
      <c r="H60" s="16">
        <v>46006</v>
      </c>
    </row>
    <row r="61" spans="2:8" ht="16" x14ac:dyDescent="0.2">
      <c r="B61" s="13">
        <v>46007</v>
      </c>
      <c r="C61" s="15" t="str">
        <f>IF(ISBLANK(B61),"",TEXT(B61, "dddd"))</f>
        <v>Tuesday</v>
      </c>
      <c r="D61" s="15">
        <v>4.3</v>
      </c>
      <c r="E61" s="74"/>
      <c r="F61" s="15" t="s">
        <v>168</v>
      </c>
      <c r="G61" s="44" t="s">
        <v>139</v>
      </c>
      <c r="H61" s="16">
        <v>46007</v>
      </c>
    </row>
    <row r="62" spans="2:8" ht="16" x14ac:dyDescent="0.2">
      <c r="B62" s="13">
        <v>46007</v>
      </c>
      <c r="C62" s="15" t="str">
        <f>IF(ISBLANK(B62),"",TEXT(B62, "dddd"))</f>
        <v>Tuesday</v>
      </c>
      <c r="D62" s="15">
        <v>4.5</v>
      </c>
      <c r="E62" s="74"/>
      <c r="F62" s="15" t="s">
        <v>189</v>
      </c>
      <c r="G62" s="44" t="s">
        <v>139</v>
      </c>
      <c r="H62" s="16">
        <v>46007</v>
      </c>
    </row>
    <row r="63" spans="2:8" ht="16" x14ac:dyDescent="0.2">
      <c r="B63" s="13">
        <v>46007</v>
      </c>
      <c r="C63" s="15" t="str">
        <f>IF(ISBLANK(B63),"",TEXT(B63, "dddd"))</f>
        <v>Tuesday</v>
      </c>
      <c r="D63" s="15">
        <v>5.3</v>
      </c>
      <c r="E63" s="74"/>
      <c r="F63" s="15" t="s">
        <v>175</v>
      </c>
      <c r="G63" s="44" t="s">
        <v>137</v>
      </c>
      <c r="H63" s="16">
        <v>46007</v>
      </c>
    </row>
    <row r="64" spans="2:8" ht="16" x14ac:dyDescent="0.2">
      <c r="B64" s="13">
        <v>46007</v>
      </c>
      <c r="C64" s="15" t="str">
        <f>IF(ISBLANK(B64),"",TEXT(B64, "dddd"))</f>
        <v>Tuesday</v>
      </c>
      <c r="D64" s="15">
        <v>5.4</v>
      </c>
      <c r="E64" s="74"/>
      <c r="F64" s="15" t="s">
        <v>186</v>
      </c>
      <c r="G64" s="44" t="s">
        <v>137</v>
      </c>
      <c r="H64" s="16">
        <v>46007</v>
      </c>
    </row>
    <row r="65" spans="2:8" ht="16" x14ac:dyDescent="0.2">
      <c r="B65" s="13">
        <v>46008</v>
      </c>
      <c r="C65" s="15" t="str">
        <f>IF(ISBLANK(B65),"",TEXT(B65, "dddd"))</f>
        <v>Wednesday</v>
      </c>
      <c r="D65" s="15">
        <v>1.1000000000000001</v>
      </c>
      <c r="E65" s="74"/>
      <c r="F65" s="15" t="s">
        <v>190</v>
      </c>
      <c r="G65" s="44"/>
      <c r="H65" s="16">
        <v>46008</v>
      </c>
    </row>
    <row r="66" spans="2:8" ht="16" x14ac:dyDescent="0.2">
      <c r="B66" s="13">
        <v>46008</v>
      </c>
      <c r="C66" s="15" t="str">
        <f>IF(ISBLANK(B66),"",TEXT(B66, "dddd"))</f>
        <v>Wednesday</v>
      </c>
      <c r="D66" s="15">
        <v>1.2</v>
      </c>
      <c r="E66" s="74"/>
      <c r="F66" s="15" t="s">
        <v>191</v>
      </c>
      <c r="G66" s="44"/>
      <c r="H66" s="16">
        <v>46008</v>
      </c>
    </row>
    <row r="67" spans="2:8" ht="16" x14ac:dyDescent="0.2">
      <c r="B67" s="13">
        <v>46008</v>
      </c>
      <c r="C67" s="15" t="str">
        <f>IF(ISBLANK(B67),"",TEXT(B67, "dddd"))</f>
        <v>Wednesday</v>
      </c>
      <c r="D67" s="15">
        <v>5.3</v>
      </c>
      <c r="E67" s="74"/>
      <c r="F67" s="15" t="s">
        <v>192</v>
      </c>
      <c r="G67" s="44"/>
      <c r="H67" s="16"/>
    </row>
    <row r="68" spans="2:8" ht="16" x14ac:dyDescent="0.2">
      <c r="B68" s="13">
        <v>46008</v>
      </c>
      <c r="C68" s="15" t="str">
        <f>IF(ISBLANK(B68),"",TEXT(B68, "dddd"))</f>
        <v>Wednesday</v>
      </c>
      <c r="D68" s="15">
        <v>5.6</v>
      </c>
      <c r="E68" s="74"/>
      <c r="F68" s="15" t="s">
        <v>174</v>
      </c>
      <c r="G68" s="44"/>
      <c r="H68" s="16">
        <v>46015</v>
      </c>
    </row>
    <row r="69" spans="2:8" ht="16" x14ac:dyDescent="0.2">
      <c r="B69" s="13">
        <v>46009</v>
      </c>
      <c r="C69" s="15" t="str">
        <f>IF(ISBLANK(B69),"",TEXT(B69, "dddd"))</f>
        <v>Thursday</v>
      </c>
      <c r="D69" s="15">
        <v>5.4</v>
      </c>
      <c r="E69" s="74"/>
      <c r="F69" s="15" t="s">
        <v>193</v>
      </c>
      <c r="G69" s="44"/>
      <c r="H69" s="16">
        <v>46022</v>
      </c>
    </row>
    <row r="70" spans="2:8" ht="16" x14ac:dyDescent="0.2">
      <c r="B70" s="13">
        <v>46009</v>
      </c>
      <c r="C70" s="15" t="str">
        <f>IF(ISBLANK(B70),"",TEXT(B70, "dddd"))</f>
        <v>Thursday</v>
      </c>
      <c r="D70" s="15"/>
      <c r="E70" s="74"/>
      <c r="F70" s="15" t="s">
        <v>194</v>
      </c>
      <c r="G70" s="44"/>
      <c r="H70" s="16">
        <v>46009</v>
      </c>
    </row>
    <row r="71" spans="2:8" ht="16" x14ac:dyDescent="0.2">
      <c r="B71" s="13">
        <v>46015</v>
      </c>
      <c r="C71" s="15" t="str">
        <f>IF(ISBLANK(B71),"",TEXT(B71, "dddd"))</f>
        <v>Wednesday</v>
      </c>
      <c r="D71" s="15">
        <v>2.1</v>
      </c>
      <c r="E71" s="74"/>
      <c r="F71" s="15" t="s">
        <v>187</v>
      </c>
      <c r="G71" s="44"/>
      <c r="H71" s="16">
        <v>46015</v>
      </c>
    </row>
    <row r="72" spans="2:8" ht="16" x14ac:dyDescent="0.2">
      <c r="B72" s="13">
        <v>46015</v>
      </c>
      <c r="C72" s="15" t="str">
        <f>IF(ISBLANK(B72),"",TEXT(B72, "dddd"))</f>
        <v>Wednesday</v>
      </c>
      <c r="D72" s="15">
        <v>2.2000000000000002</v>
      </c>
      <c r="E72" s="74"/>
      <c r="F72" s="15" t="s">
        <v>188</v>
      </c>
      <c r="G72" s="44"/>
      <c r="H72" s="16">
        <v>46015</v>
      </c>
    </row>
    <row r="73" spans="2:8" ht="16" x14ac:dyDescent="0.2">
      <c r="B73" s="13">
        <v>46015</v>
      </c>
      <c r="C73" s="15" t="str">
        <f>IF(ISBLANK(B73),"",TEXT(B73, "dddd"))</f>
        <v>Wednesday</v>
      </c>
      <c r="D73" s="15"/>
      <c r="E73" s="74"/>
      <c r="F73" s="15" t="s">
        <v>180</v>
      </c>
      <c r="G73" s="44"/>
      <c r="H73" s="16">
        <v>46015</v>
      </c>
    </row>
    <row r="74" spans="2:8" ht="16" x14ac:dyDescent="0.2">
      <c r="B74" s="13">
        <v>46015</v>
      </c>
      <c r="C74" s="15" t="str">
        <f>IF(ISBLANK(B74),"",TEXT(B74, "dddd"))</f>
        <v>Wednesday</v>
      </c>
      <c r="D74" s="15"/>
      <c r="E74" s="74"/>
      <c r="F74" s="15" t="s">
        <v>185</v>
      </c>
      <c r="G74" s="44"/>
      <c r="H74" s="16">
        <v>46015</v>
      </c>
    </row>
    <row r="75" spans="2:8" ht="16" x14ac:dyDescent="0.2">
      <c r="B75" s="13">
        <v>46015</v>
      </c>
      <c r="C75" s="15" t="str">
        <f>IF(ISBLANK(B75),"",TEXT(B75, "dddd"))</f>
        <v>Wednesday</v>
      </c>
      <c r="D75" s="15"/>
      <c r="E75" s="74"/>
      <c r="F75" s="15" t="s">
        <v>179</v>
      </c>
      <c r="G75" s="44"/>
      <c r="H75" s="16">
        <v>46015</v>
      </c>
    </row>
    <row r="76" spans="2:8" ht="16" x14ac:dyDescent="0.2">
      <c r="B76" s="13">
        <v>46022</v>
      </c>
      <c r="C76" s="15" t="str">
        <f>IF(ISBLANK(B76),"",TEXT(B76, "dddd"))</f>
        <v>Wednesday</v>
      </c>
      <c r="D76" s="15"/>
      <c r="E76" s="74"/>
      <c r="F76" s="15" t="s">
        <v>195</v>
      </c>
      <c r="G76" s="44"/>
      <c r="H76" s="16">
        <v>46022</v>
      </c>
    </row>
    <row r="77" spans="2:8" ht="16" x14ac:dyDescent="0.2">
      <c r="B77" s="13">
        <v>46022</v>
      </c>
      <c r="C77" s="15" t="str">
        <f>IF(ISBLANK(B77),"",TEXT(B77, "dddd"))</f>
        <v>Wednesday</v>
      </c>
      <c r="D77" s="15"/>
      <c r="E77" s="74"/>
      <c r="F77" s="15" t="s">
        <v>202</v>
      </c>
      <c r="G77" s="44"/>
      <c r="H77" s="16">
        <v>46022</v>
      </c>
    </row>
    <row r="78" spans="2:8" ht="16" x14ac:dyDescent="0.2">
      <c r="B78" s="13">
        <v>46022</v>
      </c>
      <c r="C78" s="15" t="str">
        <f>IF(ISBLANK(B78),"",TEXT(B78, "dddd"))</f>
        <v>Wednesday</v>
      </c>
      <c r="D78" s="15"/>
      <c r="E78" s="74"/>
      <c r="F78" s="15" t="s">
        <v>196</v>
      </c>
      <c r="G78" s="44"/>
      <c r="H78" s="16">
        <v>46022</v>
      </c>
    </row>
    <row r="79" spans="2:8" ht="16" x14ac:dyDescent="0.2">
      <c r="B79" s="13">
        <v>46024</v>
      </c>
      <c r="C79" s="15" t="str">
        <f>IF(ISBLANK(B79),"",TEXT(B79, "dddd"))</f>
        <v>Friday</v>
      </c>
      <c r="D79" s="15">
        <v>0.1</v>
      </c>
      <c r="E79" s="74"/>
      <c r="F79" s="15" t="s">
        <v>204</v>
      </c>
      <c r="G79" s="44"/>
      <c r="H79" s="16">
        <v>46024</v>
      </c>
    </row>
    <row r="80" spans="2:8" ht="16" x14ac:dyDescent="0.2">
      <c r="B80" s="13">
        <v>46024</v>
      </c>
      <c r="C80" s="15" t="str">
        <f>IF(ISBLANK(B80),"",TEXT(B80, "dddd"))</f>
        <v>Friday</v>
      </c>
      <c r="D80" s="15">
        <v>0.15</v>
      </c>
      <c r="E80" s="74"/>
      <c r="F80" s="15" t="s">
        <v>211</v>
      </c>
      <c r="G80" s="44"/>
      <c r="H80" s="16">
        <v>46024</v>
      </c>
    </row>
    <row r="81" spans="2:8" ht="16" x14ac:dyDescent="0.2">
      <c r="B81" s="13">
        <v>46024</v>
      </c>
      <c r="C81" s="15" t="str">
        <f>IF(ISBLANK(B81),"",TEXT(B81, "dddd"))</f>
        <v>Friday</v>
      </c>
      <c r="D81" s="15">
        <v>0.2</v>
      </c>
      <c r="E81" s="74"/>
      <c r="F81" s="15" t="s">
        <v>207</v>
      </c>
      <c r="G81" s="44"/>
      <c r="H81" s="16">
        <v>46024</v>
      </c>
    </row>
    <row r="82" spans="2:8" ht="16" x14ac:dyDescent="0.2">
      <c r="B82" s="13">
        <v>46024</v>
      </c>
      <c r="C82" s="15" t="str">
        <f>IF(ISBLANK(B82),"",TEXT(B82, "dddd"))</f>
        <v>Friday</v>
      </c>
      <c r="D82" s="15">
        <v>0.3</v>
      </c>
      <c r="E82" s="74"/>
      <c r="F82" s="15" t="s">
        <v>205</v>
      </c>
      <c r="G82" s="44"/>
      <c r="H82" s="16">
        <v>46024</v>
      </c>
    </row>
    <row r="83" spans="2:8" ht="16" x14ac:dyDescent="0.2">
      <c r="B83" s="13">
        <v>46024</v>
      </c>
      <c r="C83" s="15" t="str">
        <f>IF(ISBLANK(B83),"",TEXT(B83, "dddd"))</f>
        <v>Friday</v>
      </c>
      <c r="D83" s="15">
        <v>0.4</v>
      </c>
      <c r="E83" s="74"/>
      <c r="F83" s="15" t="s">
        <v>206</v>
      </c>
      <c r="G83" s="44"/>
      <c r="H83" s="16">
        <v>46024</v>
      </c>
    </row>
    <row r="84" spans="2:8" ht="16" x14ac:dyDescent="0.2">
      <c r="B84" s="13">
        <v>46024</v>
      </c>
      <c r="C84" s="15" t="str">
        <f>IF(ISBLANK(B84),"",TEXT(B84, "dddd"))</f>
        <v>Friday</v>
      </c>
      <c r="D84" s="15">
        <v>1.1000000000000001</v>
      </c>
      <c r="E84" s="74"/>
      <c r="F84" s="15" t="s">
        <v>197</v>
      </c>
      <c r="G84" s="44"/>
      <c r="H84" s="16">
        <v>46024</v>
      </c>
    </row>
    <row r="85" spans="2:8" ht="16" x14ac:dyDescent="0.2">
      <c r="B85" s="13">
        <v>46024</v>
      </c>
      <c r="C85" s="15" t="str">
        <f>IF(ISBLANK(B85),"",TEXT(B85, "dddd"))</f>
        <v>Friday</v>
      </c>
      <c r="D85" s="15">
        <v>1.1200000000000001</v>
      </c>
      <c r="E85" s="74"/>
      <c r="F85" s="15" t="s">
        <v>212</v>
      </c>
      <c r="G85" s="44"/>
      <c r="H85" s="16">
        <v>46024</v>
      </c>
    </row>
    <row r="86" spans="2:8" ht="16" x14ac:dyDescent="0.2">
      <c r="B86" s="13">
        <v>46024</v>
      </c>
      <c r="C86" s="15" t="str">
        <f>IF(ISBLANK(B86),"",TEXT(B86, "dddd"))</f>
        <v>Friday</v>
      </c>
      <c r="D86" s="15">
        <v>1.1299999999999999</v>
      </c>
      <c r="E86" s="74"/>
      <c r="F86" s="15" t="s">
        <v>214</v>
      </c>
      <c r="G86" s="44"/>
      <c r="H86" s="16"/>
    </row>
    <row r="87" spans="2:8" ht="16" x14ac:dyDescent="0.2">
      <c r="B87" s="13">
        <v>46024</v>
      </c>
      <c r="C87" s="15" t="str">
        <f>IF(ISBLANK(B87),"",TEXT(B87, "dddd"))</f>
        <v>Friday</v>
      </c>
      <c r="D87" s="15">
        <v>1.2</v>
      </c>
      <c r="E87" s="74"/>
      <c r="F87" s="15" t="s">
        <v>10</v>
      </c>
      <c r="G87" s="44"/>
      <c r="H87" s="16">
        <v>46024</v>
      </c>
    </row>
    <row r="88" spans="2:8" ht="16" x14ac:dyDescent="0.2">
      <c r="B88" s="13">
        <v>46024</v>
      </c>
      <c r="C88" s="15" t="str">
        <f>IF(ISBLANK(B88),"",TEXT(B88, "dddd"))</f>
        <v>Friday</v>
      </c>
      <c r="D88" s="15">
        <v>1.3</v>
      </c>
      <c r="E88" s="74"/>
      <c r="F88" s="15" t="s">
        <v>200</v>
      </c>
      <c r="G88" s="44"/>
      <c r="H88" s="16"/>
    </row>
    <row r="89" spans="2:8" ht="16" x14ac:dyDescent="0.2">
      <c r="B89" s="13">
        <v>46024</v>
      </c>
      <c r="C89" s="15" t="str">
        <f>IF(ISBLANK(B89),"",TEXT(B89, "dddd"))</f>
        <v>Friday</v>
      </c>
      <c r="D89" s="15">
        <v>2.1</v>
      </c>
      <c r="E89" s="74"/>
      <c r="F89" s="15" t="s">
        <v>215</v>
      </c>
      <c r="G89" s="44"/>
      <c r="H89" s="16">
        <v>46024</v>
      </c>
    </row>
    <row r="90" spans="2:8" ht="16" x14ac:dyDescent="0.2">
      <c r="B90" s="13">
        <v>46024</v>
      </c>
      <c r="C90" s="15" t="str">
        <f>IF(ISBLANK(B90),"",TEXT(B90, "dddd"))</f>
        <v>Friday</v>
      </c>
      <c r="D90" s="15">
        <v>2.2000000000000002</v>
      </c>
      <c r="E90" s="74"/>
      <c r="F90" s="15" t="s">
        <v>217</v>
      </c>
      <c r="G90" s="44"/>
      <c r="H90" s="16">
        <v>46024</v>
      </c>
    </row>
    <row r="91" spans="2:8" ht="16" x14ac:dyDescent="0.2">
      <c r="B91" s="13">
        <v>46024</v>
      </c>
      <c r="C91" s="15" t="str">
        <f>IF(ISBLANK(B91),"",TEXT(B91, "dddd"))</f>
        <v>Friday</v>
      </c>
      <c r="D91" s="15">
        <v>2.2999999999999998</v>
      </c>
      <c r="E91" s="74"/>
      <c r="F91" s="15" t="s">
        <v>216</v>
      </c>
      <c r="G91" s="44"/>
      <c r="H91" s="16">
        <v>46024</v>
      </c>
    </row>
    <row r="92" spans="2:8" ht="16" x14ac:dyDescent="0.2">
      <c r="B92" s="13">
        <v>46024</v>
      </c>
      <c r="C92" s="15" t="str">
        <f>IF(ISBLANK(B92),"",TEXT(B92, "dddd"))</f>
        <v>Friday</v>
      </c>
      <c r="D92" s="15">
        <v>3.1</v>
      </c>
      <c r="E92" s="74"/>
      <c r="F92" s="15" t="s">
        <v>213</v>
      </c>
      <c r="G92" s="44"/>
      <c r="H92" s="16">
        <v>46024</v>
      </c>
    </row>
    <row r="93" spans="2:8" ht="16" x14ac:dyDescent="0.2">
      <c r="B93" s="13">
        <v>46024</v>
      </c>
      <c r="C93" s="15" t="str">
        <f>IF(ISBLANK(B93),"",TEXT(B93, "dddd"))</f>
        <v>Friday</v>
      </c>
      <c r="D93" s="15">
        <v>3.2</v>
      </c>
      <c r="E93" s="74"/>
      <c r="F93" s="15" t="s">
        <v>203</v>
      </c>
      <c r="G93" s="44"/>
      <c r="H93" s="16">
        <v>46024</v>
      </c>
    </row>
    <row r="94" spans="2:8" ht="16" x14ac:dyDescent="0.2">
      <c r="B94" s="13">
        <v>46024</v>
      </c>
      <c r="C94" s="15" t="str">
        <f>IF(ISBLANK(B94),"",TEXT(B94, "dddd"))</f>
        <v>Friday</v>
      </c>
      <c r="D94" s="15">
        <v>3.3</v>
      </c>
      <c r="E94" s="74"/>
      <c r="F94" s="15" t="s">
        <v>184</v>
      </c>
      <c r="G94" s="44"/>
      <c r="H94" s="16">
        <v>46024</v>
      </c>
    </row>
    <row r="95" spans="2:8" ht="16" x14ac:dyDescent="0.2">
      <c r="B95" s="13">
        <v>46024</v>
      </c>
      <c r="C95" s="15" t="str">
        <f>IF(ISBLANK(B95),"",TEXT(B95, "dddd"))</f>
        <v>Friday</v>
      </c>
      <c r="D95" s="15">
        <v>3.4</v>
      </c>
      <c r="E95" s="74"/>
      <c r="F95" s="15" t="s">
        <v>199</v>
      </c>
      <c r="G95" s="44"/>
      <c r="H95" s="16">
        <v>46024</v>
      </c>
    </row>
    <row r="96" spans="2:8" ht="16" x14ac:dyDescent="0.2">
      <c r="B96" s="13">
        <v>46024</v>
      </c>
      <c r="C96" s="15" t="str">
        <f>IF(ISBLANK(B96),"",TEXT(B96, "dddd"))</f>
        <v>Friday</v>
      </c>
      <c r="D96" s="15">
        <v>3.6</v>
      </c>
      <c r="E96" s="74"/>
      <c r="F96" s="15" t="s">
        <v>208</v>
      </c>
      <c r="G96" s="44"/>
      <c r="H96" s="16">
        <v>46024</v>
      </c>
    </row>
    <row r="97" spans="2:8" ht="16" x14ac:dyDescent="0.2">
      <c r="B97" s="13">
        <v>46024</v>
      </c>
      <c r="C97" s="15" t="str">
        <f>IF(ISBLANK(B97),"",TEXT(B97, "dddd"))</f>
        <v>Friday</v>
      </c>
      <c r="D97" s="15">
        <v>4.0999999999999996</v>
      </c>
      <c r="E97" s="44"/>
      <c r="F97" s="15" t="s">
        <v>209</v>
      </c>
      <c r="G97" s="44"/>
      <c r="H97" s="17"/>
    </row>
    <row r="98" spans="2:8" ht="16" x14ac:dyDescent="0.2">
      <c r="B98" s="13">
        <v>46024</v>
      </c>
      <c r="C98" s="15" t="str">
        <f>IF(ISBLANK(B98),"",TEXT(B98, "dddd"))</f>
        <v>Friday</v>
      </c>
      <c r="D98" s="15">
        <v>4.2</v>
      </c>
      <c r="E98" s="44"/>
      <c r="F98" s="15" t="s">
        <v>210</v>
      </c>
      <c r="G98" s="44"/>
      <c r="H98" s="17"/>
    </row>
    <row r="99" spans="2:8" ht="16" x14ac:dyDescent="0.2">
      <c r="B99" s="13">
        <v>46024</v>
      </c>
      <c r="C99" s="15" t="str">
        <f>IF(ISBLANK(B99),"",TEXT(B99, "dddd"))</f>
        <v>Friday</v>
      </c>
      <c r="D99" s="15">
        <v>4.3</v>
      </c>
      <c r="E99" s="44"/>
      <c r="F99" s="15" t="s">
        <v>183</v>
      </c>
      <c r="G99" s="44"/>
      <c r="H99" s="17"/>
    </row>
    <row r="100" spans="2:8" ht="16" x14ac:dyDescent="0.2">
      <c r="B100" s="13">
        <v>46027</v>
      </c>
      <c r="C100" s="15" t="str">
        <f>IF(ISBLANK(B100),"",TEXT(B100, "dddd"))</f>
        <v>Monday</v>
      </c>
      <c r="D100" s="15"/>
      <c r="E100" s="74"/>
      <c r="F100" s="15" t="s">
        <v>201</v>
      </c>
      <c r="G100" s="44"/>
      <c r="H100" s="16">
        <v>46027</v>
      </c>
    </row>
    <row r="101" spans="2:8" ht="16" x14ac:dyDescent="0.2">
      <c r="B101" s="13">
        <v>46028</v>
      </c>
      <c r="C101" s="15" t="str">
        <f>IF(ISBLANK(B101),"",TEXT(B101, "dddd"))</f>
        <v>Tuesday</v>
      </c>
      <c r="D101" s="15"/>
      <c r="E101" s="74"/>
      <c r="F101" s="11" t="s">
        <v>218</v>
      </c>
      <c r="G101" s="44"/>
      <c r="H101" s="16">
        <v>46027</v>
      </c>
    </row>
    <row r="102" spans="2:8" ht="16" x14ac:dyDescent="0.2">
      <c r="B102" s="13">
        <v>46028</v>
      </c>
      <c r="C102" s="15" t="str">
        <f>IF(ISBLANK(B102),"",TEXT(B102, "dddd"))</f>
        <v>Tuesday</v>
      </c>
      <c r="D102" s="15"/>
      <c r="E102" s="44"/>
      <c r="F102" s="15" t="s">
        <v>219</v>
      </c>
      <c r="G102" s="44"/>
      <c r="H102" s="17"/>
    </row>
    <row r="103" spans="2:8" ht="16" x14ac:dyDescent="0.2">
      <c r="B103" s="13">
        <v>46028</v>
      </c>
      <c r="C103" s="15" t="str">
        <f>IF(ISBLANK(B103),"",TEXT(B103, "dddd"))</f>
        <v>Tuesday</v>
      </c>
      <c r="D103" s="15"/>
      <c r="E103" s="44"/>
      <c r="F103" s="15" t="s">
        <v>220</v>
      </c>
      <c r="G103" s="44"/>
      <c r="H103" s="17"/>
    </row>
    <row r="104" spans="2:8" ht="16" x14ac:dyDescent="0.2">
      <c r="B104" s="13">
        <v>46030</v>
      </c>
      <c r="C104" s="15" t="str">
        <f>IF(ISBLANK(B104),"",TEXT(B104, "dddd"))</f>
        <v>Thursday</v>
      </c>
      <c r="D104" s="15"/>
      <c r="E104" s="74"/>
      <c r="F104" s="15" t="s">
        <v>198</v>
      </c>
      <c r="G104" s="44" t="s">
        <v>227</v>
      </c>
      <c r="H104" s="16">
        <v>46027</v>
      </c>
    </row>
    <row r="105" spans="2:8" ht="16" x14ac:dyDescent="0.2">
      <c r="B105" s="13">
        <v>46030</v>
      </c>
      <c r="C105" s="15" t="str">
        <f>IF(ISBLANK(B105),"",TEXT(B105, "dddd"))</f>
        <v>Thursday</v>
      </c>
      <c r="D105" s="15"/>
      <c r="E105" s="74"/>
      <c r="F105" s="15" t="s">
        <v>221</v>
      </c>
      <c r="G105" s="44" t="s">
        <v>140</v>
      </c>
      <c r="H105" s="16">
        <v>46030</v>
      </c>
    </row>
    <row r="106" spans="2:8" ht="16" x14ac:dyDescent="0.2">
      <c r="B106" s="13">
        <v>46034</v>
      </c>
      <c r="C106" s="15" t="str">
        <f>IF(ISBLANK(B106),"",TEXT(B106, "dddd"))</f>
        <v>Monday</v>
      </c>
      <c r="D106" s="15"/>
      <c r="E106" s="74"/>
      <c r="F106" s="15" t="s">
        <v>224</v>
      </c>
      <c r="G106" s="44" t="s">
        <v>228</v>
      </c>
      <c r="H106" s="16">
        <v>46034</v>
      </c>
    </row>
    <row r="107" spans="2:8" ht="16" x14ac:dyDescent="0.2">
      <c r="B107" s="13">
        <v>46035</v>
      </c>
      <c r="C107" s="15" t="str">
        <f>IF(ISBLANK(B107),"",TEXT(B107, "dddd"))</f>
        <v>Tuesday</v>
      </c>
      <c r="D107" s="15">
        <v>3.2</v>
      </c>
      <c r="E107" s="74"/>
      <c r="F107" s="15" t="s">
        <v>225</v>
      </c>
      <c r="G107" s="44"/>
      <c r="H107" s="16">
        <v>46035</v>
      </c>
    </row>
    <row r="108" spans="2:8" ht="16" x14ac:dyDescent="0.2">
      <c r="B108" s="13">
        <v>46035</v>
      </c>
      <c r="C108" s="15" t="str">
        <f>IF(ISBLANK(B108),"",TEXT(B108, "dddd"))</f>
        <v>Tuesday</v>
      </c>
      <c r="D108" s="15">
        <v>3.3</v>
      </c>
      <c r="E108" s="74"/>
      <c r="F108" s="15" t="s">
        <v>234</v>
      </c>
      <c r="G108" s="44"/>
      <c r="H108" s="16">
        <v>46035</v>
      </c>
    </row>
    <row r="109" spans="2:8" ht="16" x14ac:dyDescent="0.2">
      <c r="B109" s="13">
        <v>46036</v>
      </c>
      <c r="C109" s="15" t="str">
        <f>IF(ISBLANK(B109),"",TEXT(B109, "dddd"))</f>
        <v>Wednesday</v>
      </c>
      <c r="D109" s="15"/>
      <c r="E109" s="74"/>
      <c r="F109" s="15" t="s">
        <v>235</v>
      </c>
      <c r="G109" s="44"/>
      <c r="H109" s="16">
        <v>46036</v>
      </c>
    </row>
    <row r="110" spans="2:8" ht="16" x14ac:dyDescent="0.2">
      <c r="B110" s="13">
        <v>46036</v>
      </c>
      <c r="C110" s="15" t="str">
        <f>IF(ISBLANK(B110),"",TEXT(B110, "dddd"))</f>
        <v>Wednesday</v>
      </c>
      <c r="D110" s="15"/>
      <c r="E110" s="74"/>
      <c r="F110" s="15" t="s">
        <v>236</v>
      </c>
      <c r="G110" s="44"/>
      <c r="H110" s="16">
        <v>46036</v>
      </c>
    </row>
    <row r="111" spans="2:8" ht="16" x14ac:dyDescent="0.2">
      <c r="B111" s="13">
        <v>46036</v>
      </c>
      <c r="C111" s="15" t="str">
        <f>IF(ISBLANK(B111),"",TEXT(B111, "dddd"))</f>
        <v>Wednesday</v>
      </c>
      <c r="D111" s="15"/>
      <c r="E111" s="74"/>
      <c r="F111" s="15" t="s">
        <v>237</v>
      </c>
      <c r="G111" s="44"/>
      <c r="H111" s="16">
        <v>46036</v>
      </c>
    </row>
    <row r="112" spans="2:8" ht="16" x14ac:dyDescent="0.2">
      <c r="B112" s="13">
        <v>46036</v>
      </c>
      <c r="C112" s="15" t="str">
        <f>IF(ISBLANK(B112),"",TEXT(B112, "dddd"))</f>
        <v>Wednesday</v>
      </c>
      <c r="D112" s="15"/>
      <c r="E112" s="74"/>
      <c r="F112" s="15" t="s">
        <v>238</v>
      </c>
      <c r="G112" s="44"/>
      <c r="H112" s="16">
        <v>46036</v>
      </c>
    </row>
    <row r="113" spans="2:8" ht="16" x14ac:dyDescent="0.2">
      <c r="B113" s="13">
        <v>46037</v>
      </c>
      <c r="C113" s="15" t="str">
        <f>IF(ISBLANK(B113),"",TEXT(B113, "dddd"))</f>
        <v>Thursday</v>
      </c>
      <c r="D113" s="15"/>
      <c r="E113" s="74"/>
      <c r="F113" s="15" t="s">
        <v>239</v>
      </c>
      <c r="G113" s="44"/>
      <c r="H113" s="16">
        <v>46037</v>
      </c>
    </row>
    <row r="114" spans="2:8" ht="96" x14ac:dyDescent="0.2">
      <c r="B114" s="13">
        <v>46038</v>
      </c>
      <c r="C114" s="15" t="str">
        <f>IF(ISBLANK(B114),"",TEXT(B114, "dddd"))</f>
        <v>Friday</v>
      </c>
      <c r="D114" s="15">
        <v>0.01</v>
      </c>
      <c r="E114" s="74"/>
      <c r="F114" s="15" t="s">
        <v>242</v>
      </c>
      <c r="G114" s="44" t="s">
        <v>140</v>
      </c>
      <c r="H114" s="16">
        <v>46038</v>
      </c>
    </row>
    <row r="115" spans="2:8" ht="16" x14ac:dyDescent="0.2">
      <c r="B115" s="13">
        <v>46038</v>
      </c>
      <c r="C115" s="15" t="str">
        <f>IF(ISBLANK(B115),"",TEXT(B115, "dddd"))</f>
        <v>Friday</v>
      </c>
      <c r="D115" s="15">
        <v>0.1</v>
      </c>
      <c r="E115" s="74"/>
      <c r="F115" s="15" t="s">
        <v>240</v>
      </c>
      <c r="G115" s="44" t="s">
        <v>243</v>
      </c>
      <c r="H115" s="16">
        <v>46038</v>
      </c>
    </row>
    <row r="116" spans="2:8" ht="16" x14ac:dyDescent="0.2">
      <c r="B116" s="13">
        <v>46038</v>
      </c>
      <c r="C116" s="15" t="str">
        <f>IF(ISBLANK(B116),"",TEXT(B116, "dddd"))</f>
        <v>Friday</v>
      </c>
      <c r="D116" s="15">
        <v>3.3</v>
      </c>
      <c r="E116" s="74"/>
      <c r="F116" s="15" t="s">
        <v>241</v>
      </c>
      <c r="G116" s="44" t="s">
        <v>229</v>
      </c>
      <c r="H116" s="16">
        <v>46375</v>
      </c>
    </row>
    <row r="117" spans="2:8" ht="16" x14ac:dyDescent="0.2">
      <c r="B117" s="13">
        <v>46038</v>
      </c>
      <c r="C117" s="15" t="str">
        <f>IF(ISBLANK(B117),"",TEXT(B117, "dddd"))</f>
        <v>Friday</v>
      </c>
      <c r="D117" s="15"/>
      <c r="E117" s="74"/>
      <c r="F117" s="15"/>
      <c r="G117" s="44"/>
      <c r="H117" s="16"/>
    </row>
    <row r="118" spans="2:8" ht="16" x14ac:dyDescent="0.2">
      <c r="B118" s="67">
        <v>46042</v>
      </c>
      <c r="C118" s="15" t="str">
        <f>IF(ISBLANK(B118),"",TEXT(B118, "dddd"))</f>
        <v>Tuesday</v>
      </c>
      <c r="D118" s="15"/>
      <c r="E118" s="74" t="s">
        <v>250</v>
      </c>
      <c r="F118" s="15" t="s">
        <v>269</v>
      </c>
      <c r="G118" s="44"/>
      <c r="H118" s="16">
        <v>46042</v>
      </c>
    </row>
    <row r="119" spans="2:8" ht="16" x14ac:dyDescent="0.2">
      <c r="B119" s="67">
        <v>46042</v>
      </c>
      <c r="C119" s="15" t="str">
        <f>IF(ISBLANK(B119),"",TEXT(B119, "dddd"))</f>
        <v>Tuesday</v>
      </c>
      <c r="D119" s="15"/>
      <c r="E119" s="74" t="s">
        <v>250</v>
      </c>
      <c r="F119" s="15" t="s">
        <v>270</v>
      </c>
      <c r="G119" s="44"/>
      <c r="H119" s="16">
        <v>46042</v>
      </c>
    </row>
    <row r="120" spans="2:8" ht="16" x14ac:dyDescent="0.2">
      <c r="B120" s="67">
        <v>46042</v>
      </c>
      <c r="C120" s="15" t="str">
        <f>IF(ISBLANK(B120),"",TEXT(B120, "dddd"))</f>
        <v>Tuesday</v>
      </c>
      <c r="D120" s="15"/>
      <c r="E120" s="74" t="s">
        <v>250</v>
      </c>
      <c r="F120" s="15" t="s">
        <v>260</v>
      </c>
      <c r="G120" s="44"/>
      <c r="H120" s="16"/>
    </row>
    <row r="121" spans="2:8" ht="32" x14ac:dyDescent="0.2">
      <c r="B121" s="67">
        <v>46042</v>
      </c>
      <c r="C121" s="15" t="str">
        <f>IF(ISBLANK(B121),"",TEXT(B121, "dddd"))</f>
        <v>Tuesday</v>
      </c>
      <c r="D121" s="15"/>
      <c r="E121" s="74" t="s">
        <v>249</v>
      </c>
      <c r="F121" s="15" t="s">
        <v>266</v>
      </c>
      <c r="G121" s="44"/>
      <c r="H121" s="16"/>
    </row>
    <row r="122" spans="2:8" ht="16" x14ac:dyDescent="0.2">
      <c r="B122" s="67">
        <v>46042</v>
      </c>
      <c r="C122" s="15" t="str">
        <f>IF(ISBLANK(B122),"",TEXT(B122, "dddd"))</f>
        <v>Tuesday</v>
      </c>
      <c r="D122" s="15"/>
      <c r="E122" s="74" t="s">
        <v>253</v>
      </c>
      <c r="F122" s="15" t="s">
        <v>267</v>
      </c>
      <c r="G122" s="44"/>
      <c r="H122" s="16"/>
    </row>
    <row r="123" spans="2:8" ht="16" x14ac:dyDescent="0.2">
      <c r="B123" s="67">
        <v>46043</v>
      </c>
      <c r="C123" s="15" t="str">
        <f>IF(ISBLANK(B123),"",TEXT(B123, "dddd"))</f>
        <v>Wednesday</v>
      </c>
      <c r="D123" s="15"/>
      <c r="E123" s="74" t="s">
        <v>250</v>
      </c>
      <c r="F123" s="15" t="s">
        <v>258</v>
      </c>
      <c r="G123" s="44"/>
      <c r="H123" s="16"/>
    </row>
    <row r="124" spans="2:8" ht="16" x14ac:dyDescent="0.2">
      <c r="B124" s="67">
        <v>46043</v>
      </c>
      <c r="C124" s="15" t="str">
        <f>IF(ISBLANK(B124),"",TEXT(B124, "dddd"))</f>
        <v>Wednesday</v>
      </c>
      <c r="D124" s="15"/>
      <c r="E124" s="74" t="s">
        <v>250</v>
      </c>
      <c r="F124" s="15" t="s">
        <v>259</v>
      </c>
      <c r="G124" s="44"/>
      <c r="H124" s="16"/>
    </row>
    <row r="125" spans="2:8" ht="16" x14ac:dyDescent="0.2">
      <c r="B125" s="67">
        <v>46043</v>
      </c>
      <c r="C125" s="15" t="str">
        <f>IF(ISBLANK(B125),"",TEXT(B125, "dddd"))</f>
        <v>Wednesday</v>
      </c>
      <c r="D125" s="15"/>
      <c r="E125" s="74" t="s">
        <v>254</v>
      </c>
      <c r="F125" s="15" t="s">
        <v>261</v>
      </c>
      <c r="G125" s="44"/>
      <c r="H125" s="16"/>
    </row>
    <row r="126" spans="2:8" ht="16" x14ac:dyDescent="0.2">
      <c r="B126" s="67">
        <v>46043</v>
      </c>
      <c r="C126" s="15" t="str">
        <f>IF(ISBLANK(B126),"",TEXT(B126, "dddd"))</f>
        <v>Wednesday</v>
      </c>
      <c r="D126" s="15"/>
      <c r="E126" s="74" t="s">
        <v>254</v>
      </c>
      <c r="F126" s="15" t="s">
        <v>262</v>
      </c>
      <c r="G126" s="44"/>
      <c r="H126" s="16"/>
    </row>
    <row r="127" spans="2:8" ht="16" x14ac:dyDescent="0.2">
      <c r="B127" s="67">
        <v>46043</v>
      </c>
      <c r="C127" s="15" t="str">
        <f>IF(ISBLANK(B127),"",TEXT(B127, "dddd"))</f>
        <v>Wednesday</v>
      </c>
      <c r="D127" s="15"/>
      <c r="E127" s="74" t="s">
        <v>253</v>
      </c>
      <c r="F127" s="15" t="s">
        <v>268</v>
      </c>
      <c r="G127" s="44"/>
      <c r="H127" s="16"/>
    </row>
    <row r="128" spans="2:8" ht="16" x14ac:dyDescent="0.2">
      <c r="B128" s="67">
        <v>46044</v>
      </c>
      <c r="C128" s="15" t="str">
        <f>IF(ISBLANK(B128),"",TEXT(B128, "dddd"))</f>
        <v>Thursday</v>
      </c>
      <c r="D128" s="15"/>
      <c r="E128" s="74" t="s">
        <v>249</v>
      </c>
      <c r="F128" s="15" t="s">
        <v>263</v>
      </c>
      <c r="G128" s="44"/>
      <c r="H128" s="16"/>
    </row>
    <row r="129" spans="2:8" ht="16" x14ac:dyDescent="0.2">
      <c r="B129" s="67">
        <v>46044</v>
      </c>
      <c r="C129" s="15" t="str">
        <f>IF(ISBLANK(B129),"",TEXT(B129, "dddd"))</f>
        <v>Thursday</v>
      </c>
      <c r="D129" s="15"/>
      <c r="E129" s="74" t="s">
        <v>253</v>
      </c>
      <c r="F129" s="15" t="s">
        <v>267</v>
      </c>
      <c r="G129" s="44"/>
      <c r="H129" s="16"/>
    </row>
    <row r="130" spans="2:8" ht="16" x14ac:dyDescent="0.2">
      <c r="B130" s="67">
        <v>46045</v>
      </c>
      <c r="C130" s="15" t="str">
        <f>IF(ISBLANK(B130),"",TEXT(B130, "dddd"))</f>
        <v>Friday</v>
      </c>
      <c r="D130" s="15"/>
      <c r="E130" s="74" t="s">
        <v>249</v>
      </c>
      <c r="F130" s="15" t="s">
        <v>264</v>
      </c>
      <c r="G130" s="44"/>
      <c r="H130" s="16"/>
    </row>
    <row r="131" spans="2:8" ht="16" x14ac:dyDescent="0.2">
      <c r="B131" s="67">
        <v>46045</v>
      </c>
      <c r="C131" s="15" t="str">
        <f>IF(ISBLANK(B131),"",TEXT(B131, "dddd"))</f>
        <v>Friday</v>
      </c>
      <c r="D131" s="15"/>
      <c r="E131" s="74" t="s">
        <v>249</v>
      </c>
      <c r="F131" s="15" t="s">
        <v>265</v>
      </c>
      <c r="G131" s="44"/>
      <c r="H131" s="16"/>
    </row>
    <row r="132" spans="2:8" ht="16" x14ac:dyDescent="0.2">
      <c r="B132" s="67">
        <v>46045</v>
      </c>
      <c r="C132" s="15" t="str">
        <f>IF(ISBLANK(B132),"",TEXT(B132, "dddd"))</f>
        <v>Friday</v>
      </c>
      <c r="D132" s="15"/>
      <c r="E132" s="74" t="s">
        <v>253</v>
      </c>
      <c r="F132" s="15" t="s">
        <v>268</v>
      </c>
      <c r="G132" s="44"/>
      <c r="H132" s="16"/>
    </row>
    <row r="133" spans="2:8" ht="16" x14ac:dyDescent="0.2">
      <c r="B133" s="13">
        <v>46055</v>
      </c>
      <c r="C133" s="15" t="str">
        <f>IF(ISBLANK(B133),"",TEXT(B133, "dddd"))</f>
        <v>Monday</v>
      </c>
      <c r="D133" s="15"/>
      <c r="E133" s="74"/>
      <c r="F133" s="15" t="s">
        <v>232</v>
      </c>
      <c r="G133" s="44" t="s">
        <v>140</v>
      </c>
      <c r="H133" s="16"/>
    </row>
    <row r="134" spans="2:8" ht="16" x14ac:dyDescent="0.2">
      <c r="B134" s="13">
        <v>46078</v>
      </c>
      <c r="C134" s="15" t="str">
        <f>IF(ISBLANK(B134),"",TEXT(B134, "dddd"))</f>
        <v>Wednesday</v>
      </c>
      <c r="D134" s="15"/>
      <c r="E134" s="74"/>
      <c r="F134" s="15" t="s">
        <v>291</v>
      </c>
      <c r="G134" s="44"/>
      <c r="H134" s="16"/>
    </row>
    <row r="135" spans="2:8" ht="32" x14ac:dyDescent="0.2">
      <c r="B135" s="13">
        <v>46079</v>
      </c>
      <c r="C135" s="15" t="str">
        <f>IF(ISBLANK(B135),"",TEXT(B135, "dddd"))</f>
        <v>Thursday</v>
      </c>
      <c r="D135" s="15"/>
      <c r="E135" s="74"/>
      <c r="F135" s="15" t="s">
        <v>295</v>
      </c>
      <c r="G135" s="44"/>
      <c r="H135" s="16"/>
    </row>
    <row r="136" spans="2:8" ht="32" x14ac:dyDescent="0.2">
      <c r="B136" s="13">
        <v>46079</v>
      </c>
      <c r="C136" s="15" t="str">
        <f>IF(ISBLANK(B136),"",TEXT(B136, "dddd"))</f>
        <v>Thursday</v>
      </c>
      <c r="D136" s="15"/>
      <c r="E136" s="74"/>
      <c r="F136" s="11" t="s">
        <v>298</v>
      </c>
      <c r="G136" s="44"/>
      <c r="H136" s="16"/>
    </row>
    <row r="137" spans="2:8" ht="16" x14ac:dyDescent="0.2">
      <c r="B137" s="13">
        <v>46079</v>
      </c>
      <c r="C137" s="15" t="str">
        <f>IF(ISBLANK(B137),"",TEXT(B137, "dddd"))</f>
        <v>Thursday</v>
      </c>
      <c r="D137" s="15"/>
      <c r="E137" s="74"/>
      <c r="F137" s="15" t="s">
        <v>299</v>
      </c>
      <c r="G137" s="44"/>
      <c r="H137" s="16"/>
    </row>
    <row r="138" spans="2:8" ht="16" x14ac:dyDescent="0.2">
      <c r="B138" s="13">
        <v>46080</v>
      </c>
      <c r="C138" s="15" t="str">
        <f>IF(ISBLANK(B138),"",TEXT(B138, "dddd"))</f>
        <v>Friday</v>
      </c>
      <c r="D138" s="15"/>
      <c r="E138" s="74"/>
      <c r="F138" s="15" t="s">
        <v>292</v>
      </c>
      <c r="G138" s="44"/>
      <c r="H138" s="16"/>
    </row>
    <row r="139" spans="2:8" ht="16" x14ac:dyDescent="0.2">
      <c r="B139" s="13">
        <v>46080</v>
      </c>
      <c r="C139" s="15" t="str">
        <f>IF(ISBLANK(B139),"",TEXT(B139, "dddd"))</f>
        <v>Friday</v>
      </c>
      <c r="D139" s="15"/>
      <c r="E139" s="74"/>
      <c r="F139" s="15" t="s">
        <v>300</v>
      </c>
      <c r="G139" s="44"/>
      <c r="H139" s="16"/>
    </row>
    <row r="140" spans="2:8" ht="16" x14ac:dyDescent="0.2">
      <c r="B140" s="13">
        <v>46080</v>
      </c>
      <c r="C140" s="15" t="str">
        <f>IF(ISBLANK(B140),"",TEXT(B140, "dddd"))</f>
        <v>Friday</v>
      </c>
      <c r="D140" s="15"/>
      <c r="E140" s="74"/>
      <c r="F140" s="80" t="s">
        <v>290</v>
      </c>
      <c r="G140" s="44"/>
      <c r="H140" s="16"/>
    </row>
    <row r="141" spans="2:8" ht="32" x14ac:dyDescent="0.2">
      <c r="B141" s="13">
        <v>46080</v>
      </c>
      <c r="C141" s="15" t="str">
        <f>IF(ISBLANK(B141),"",TEXT(B141, "dddd"))</f>
        <v>Friday</v>
      </c>
      <c r="D141" s="15"/>
      <c r="E141" s="74"/>
      <c r="F141" s="15" t="s">
        <v>296</v>
      </c>
      <c r="G141" s="44"/>
      <c r="H141" s="16"/>
    </row>
    <row r="142" spans="2:8" ht="16" x14ac:dyDescent="0.2">
      <c r="B142" s="13">
        <v>46080</v>
      </c>
      <c r="C142" s="15" t="str">
        <f>IF(ISBLANK(B142),"",TEXT(B142, "dddd"))</f>
        <v>Friday</v>
      </c>
      <c r="D142" s="15"/>
      <c r="E142" s="74"/>
      <c r="F142" s="15" t="s">
        <v>297</v>
      </c>
      <c r="G142" s="44"/>
      <c r="H142" s="16"/>
    </row>
    <row r="143" spans="2:8" ht="16" x14ac:dyDescent="0.2">
      <c r="B143" s="13">
        <v>46083</v>
      </c>
      <c r="C143" s="15" t="str">
        <f>IF(ISBLANK(B143),"",TEXT(B143, "dddd"))</f>
        <v>Monday</v>
      </c>
      <c r="D143" s="15"/>
      <c r="E143" s="74"/>
      <c r="F143" s="15" t="s">
        <v>293</v>
      </c>
      <c r="G143" s="44"/>
      <c r="H143" s="16"/>
    </row>
    <row r="144" spans="2:8" ht="32" x14ac:dyDescent="0.2">
      <c r="B144" s="13">
        <v>46083</v>
      </c>
      <c r="C144" s="15" t="str">
        <f>IF(ISBLANK(B144),"",TEXT(B144, "dddd"))</f>
        <v>Monday</v>
      </c>
      <c r="D144" s="15"/>
      <c r="E144" s="74"/>
      <c r="F144" s="15" t="s">
        <v>294</v>
      </c>
      <c r="G144" s="44"/>
      <c r="H144" s="16"/>
    </row>
    <row r="145" spans="2:8" ht="16" x14ac:dyDescent="0.2">
      <c r="B145" s="13"/>
      <c r="C145" s="15" t="str">
        <f>IF(ISBLANK(B145),"",TEXT(B145, "dddd"))</f>
        <v/>
      </c>
      <c r="D145" s="15"/>
      <c r="E145" s="74"/>
      <c r="F145" s="15"/>
      <c r="G145" s="44"/>
      <c r="H145" s="16"/>
    </row>
    <row r="146" spans="2:8" ht="16" x14ac:dyDescent="0.2">
      <c r="B146" s="13"/>
      <c r="C146" s="15" t="str">
        <f>IF(ISBLANK(B146),"",TEXT(B146, "dddd"))</f>
        <v/>
      </c>
      <c r="D146" s="15"/>
      <c r="E146" s="74"/>
      <c r="F146" s="15"/>
      <c r="G146" s="44"/>
      <c r="H146" s="16"/>
    </row>
    <row r="147" spans="2:8" ht="16" x14ac:dyDescent="0.2">
      <c r="B147" s="13"/>
      <c r="C147" s="15" t="str">
        <f>IF(ISBLANK(B147),"",TEXT(B147, "dddd"))</f>
        <v/>
      </c>
      <c r="D147" s="15"/>
      <c r="E147" s="74"/>
      <c r="F147" s="11"/>
      <c r="G147" s="44"/>
      <c r="H147" s="16"/>
    </row>
    <row r="148" spans="2:8" ht="16" x14ac:dyDescent="0.2">
      <c r="B148" s="13"/>
      <c r="C148" s="15" t="str">
        <f>IF(ISBLANK(B148),"",TEXT(B148, "dddd"))</f>
        <v/>
      </c>
      <c r="D148" s="15"/>
      <c r="E148" s="74"/>
      <c r="F148" s="15"/>
      <c r="G148" s="44"/>
      <c r="H148" s="16"/>
    </row>
    <row r="149" spans="2:8" ht="16" x14ac:dyDescent="0.2">
      <c r="B149" s="13"/>
      <c r="C149" s="15" t="str">
        <f>IF(ISBLANK(B149),"",TEXT(B149, "dddd"))</f>
        <v/>
      </c>
      <c r="D149" s="15"/>
      <c r="E149" s="74"/>
      <c r="F149" s="15"/>
      <c r="G149" s="44"/>
      <c r="H149" s="16"/>
    </row>
    <row r="150" spans="2:8" x14ac:dyDescent="0.2">
      <c r="B150" s="13"/>
      <c r="C150" s="15"/>
      <c r="D150" s="15"/>
      <c r="E150" s="74"/>
      <c r="F150" s="15"/>
      <c r="G150" s="44"/>
      <c r="H150" s="16"/>
    </row>
    <row r="151" spans="2:8" x14ac:dyDescent="0.2">
      <c r="B151" s="13"/>
      <c r="C151" s="15"/>
      <c r="D151" s="15"/>
      <c r="E151" s="74"/>
      <c r="F151" s="15"/>
      <c r="G151" s="44"/>
      <c r="H151" s="16"/>
    </row>
    <row r="152" spans="2:8" x14ac:dyDescent="0.2">
      <c r="B152" s="13"/>
      <c r="C152" s="15"/>
      <c r="D152" s="15"/>
      <c r="E152" s="74"/>
      <c r="F152" s="15"/>
      <c r="G152" s="44"/>
      <c r="H152" s="16"/>
    </row>
    <row r="153" spans="2:8" x14ac:dyDescent="0.2">
      <c r="B153" s="13"/>
      <c r="C153" s="15"/>
      <c r="D153" s="15"/>
      <c r="E153" s="74"/>
      <c r="F153" s="15"/>
      <c r="G153" s="44"/>
      <c r="H153" s="16"/>
    </row>
    <row r="154" spans="2:8" x14ac:dyDescent="0.2">
      <c r="B154" s="13"/>
      <c r="C154" s="15"/>
      <c r="D154" s="15"/>
      <c r="E154" s="74"/>
      <c r="F154" s="15"/>
      <c r="G154" s="44"/>
      <c r="H154" s="16"/>
    </row>
    <row r="155" spans="2:8" ht="16" x14ac:dyDescent="0.2">
      <c r="B155" s="13"/>
      <c r="C155" s="15" t="str">
        <f>IF(ISBLANK(B155),"",TEXT(B155, "dddd"))</f>
        <v/>
      </c>
      <c r="D155" s="15"/>
      <c r="E155" s="74"/>
      <c r="F155" s="15"/>
      <c r="G155" s="44"/>
      <c r="H155" s="16"/>
    </row>
    <row r="156" spans="2:8" ht="16" x14ac:dyDescent="0.2">
      <c r="B156" s="13"/>
      <c r="C156" s="15" t="str">
        <f>IF(ISBLANK(B156),"",TEXT(B156, "dddd"))</f>
        <v/>
      </c>
      <c r="D156" s="15"/>
      <c r="E156" s="74"/>
      <c r="F156" s="15" t="s">
        <v>182</v>
      </c>
      <c r="G156" s="44" t="s">
        <v>227</v>
      </c>
      <c r="H156" s="16"/>
    </row>
    <row r="157" spans="2:8" ht="16" x14ac:dyDescent="0.2">
      <c r="B157" s="13"/>
      <c r="C157" s="15" t="str">
        <f>IF(ISBLANK(B157),"",TEXT(B157, "dddd"))</f>
        <v/>
      </c>
      <c r="D157" s="15"/>
      <c r="E157" s="74"/>
      <c r="F157" s="15"/>
      <c r="G157" s="44" t="s">
        <v>231</v>
      </c>
      <c r="H157" s="16"/>
    </row>
    <row r="158" spans="2:8" ht="16" x14ac:dyDescent="0.2">
      <c r="B158" s="13"/>
      <c r="C158" s="15" t="str">
        <f>IF(ISBLANK(B158),"",TEXT(B158, "dddd"))</f>
        <v/>
      </c>
      <c r="D158" s="15"/>
      <c r="E158" s="74"/>
      <c r="F158" s="15"/>
      <c r="G158" s="44" t="s">
        <v>229</v>
      </c>
      <c r="H158" s="16"/>
    </row>
    <row r="159" spans="2:8" ht="16" x14ac:dyDescent="0.2">
      <c r="B159" s="13"/>
      <c r="C159" s="15" t="str">
        <f>IF(ISBLANK(B159),"",TEXT(B159, "dddd"))</f>
        <v/>
      </c>
      <c r="D159" s="15"/>
      <c r="E159" s="74"/>
      <c r="F159" s="15" t="s">
        <v>226</v>
      </c>
      <c r="G159" s="44" t="s">
        <v>230</v>
      </c>
      <c r="H159" s="16"/>
    </row>
    <row r="160" spans="2:8" ht="16" x14ac:dyDescent="0.2">
      <c r="B160" s="13"/>
      <c r="C160" s="15" t="str">
        <f>IF(ISBLANK(B160),"",TEXT(B160, "dddd"))</f>
        <v/>
      </c>
      <c r="D160" s="15"/>
      <c r="E160" s="74"/>
      <c r="F160" s="15" t="s">
        <v>178</v>
      </c>
      <c r="G160" s="44" t="s">
        <v>140</v>
      </c>
      <c r="H160" s="16"/>
    </row>
    <row r="161" spans="2:8" ht="16" x14ac:dyDescent="0.2">
      <c r="B161" s="13"/>
      <c r="C161" s="15" t="str">
        <f>IF(ISBLANK(B161),"",TEXT(B161, "dddd"))</f>
        <v/>
      </c>
      <c r="D161" s="15"/>
      <c r="E161" s="74"/>
      <c r="F161" s="15" t="s">
        <v>181</v>
      </c>
      <c r="G161" s="44" t="s">
        <v>140</v>
      </c>
      <c r="H161" s="16"/>
    </row>
    <row r="162" spans="2:8" ht="16" x14ac:dyDescent="0.2">
      <c r="B162" s="13"/>
      <c r="C162" s="15" t="str">
        <f>IF(ISBLANK(B162),"",TEXT(B162, "dddd"))</f>
        <v/>
      </c>
      <c r="D162" s="15"/>
      <c r="E162" s="74"/>
      <c r="F162" s="15" t="s">
        <v>169</v>
      </c>
      <c r="G162" s="44" t="s">
        <v>228</v>
      </c>
      <c r="H162" s="16"/>
    </row>
    <row r="163" spans="2:8" ht="16" x14ac:dyDescent="0.2">
      <c r="B163" s="13"/>
      <c r="C163" s="15" t="str">
        <f>IF(ISBLANK(B163),"",TEXT(B163, "dddd"))</f>
        <v/>
      </c>
      <c r="D163" s="15"/>
      <c r="E163" s="44"/>
      <c r="F163" s="15" t="s">
        <v>222</v>
      </c>
      <c r="G163" s="44" t="s">
        <v>140</v>
      </c>
      <c r="H163" s="17"/>
    </row>
    <row r="164" spans="2:8" ht="16" x14ac:dyDescent="0.2">
      <c r="B164" s="13"/>
      <c r="C164" s="15" t="str">
        <f>IF(ISBLANK(B164),"",TEXT(B164, "dddd"))</f>
        <v/>
      </c>
      <c r="D164" s="15"/>
      <c r="E164" s="44"/>
      <c r="F164" s="15" t="s">
        <v>223</v>
      </c>
      <c r="G164" s="44" t="s">
        <v>140</v>
      </c>
      <c r="H164" s="17"/>
    </row>
    <row r="165" spans="2:8" ht="16" x14ac:dyDescent="0.2">
      <c r="B165" s="13"/>
      <c r="C165" s="15" t="str">
        <f>IF(ISBLANK(B165),"",TEXT(B165, "dddd"))</f>
        <v/>
      </c>
      <c r="D165" s="15"/>
      <c r="E165" s="74"/>
      <c r="F165" s="15" t="s">
        <v>233</v>
      </c>
      <c r="G165" s="44"/>
      <c r="H165" s="16"/>
    </row>
    <row r="166" spans="2:8" ht="16" x14ac:dyDescent="0.2">
      <c r="B166" s="13"/>
      <c r="C166" s="15" t="str">
        <f>IF(ISBLANK(B166),"",TEXT(B166, "dddd"))</f>
        <v/>
      </c>
      <c r="D166" s="15"/>
      <c r="E166" s="74"/>
      <c r="F166" s="15" t="s">
        <v>244</v>
      </c>
      <c r="G166" s="44"/>
      <c r="H166" s="16"/>
    </row>
    <row r="167" spans="2:8" ht="16" x14ac:dyDescent="0.2">
      <c r="B167" s="13"/>
      <c r="C167" s="15" t="str">
        <f>IF(ISBLANK(B167),"",TEXT(B167, "dddd"))</f>
        <v/>
      </c>
      <c r="D167" s="15"/>
      <c r="E167" s="74"/>
      <c r="F167" s="15" t="s">
        <v>245</v>
      </c>
      <c r="G167" s="44"/>
      <c r="H167" s="16"/>
    </row>
    <row r="168" spans="2:8" ht="16" x14ac:dyDescent="0.2">
      <c r="B168" s="13"/>
      <c r="C168" s="15" t="str">
        <f>IF(ISBLANK(B168),"",TEXT(B168, "dddd"))</f>
        <v/>
      </c>
      <c r="D168" s="15"/>
      <c r="E168" s="74"/>
      <c r="F168" s="15" t="s">
        <v>246</v>
      </c>
      <c r="G168" s="44"/>
      <c r="H168" s="16"/>
    </row>
    <row r="169" spans="2:8" ht="16" x14ac:dyDescent="0.2">
      <c r="B169" s="13"/>
      <c r="C169" s="15" t="str">
        <f>IF(ISBLANK(B169),"",TEXT(B169, "dddd"))</f>
        <v/>
      </c>
      <c r="D169" s="15"/>
      <c r="E169" s="74"/>
      <c r="F169" s="15" t="s">
        <v>247</v>
      </c>
      <c r="G169" s="44"/>
      <c r="H169" s="16"/>
    </row>
    <row r="170" spans="2:8" ht="16" x14ac:dyDescent="0.2">
      <c r="B170" s="13"/>
      <c r="C170" s="15" t="str">
        <f>IF(ISBLANK(B170),"",TEXT(B170, "dddd"))</f>
        <v/>
      </c>
      <c r="D170" s="15"/>
      <c r="E170" s="74"/>
      <c r="F170" s="15" t="s">
        <v>248</v>
      </c>
      <c r="G170" s="44"/>
      <c r="H170" s="16"/>
    </row>
    <row r="171" spans="2:8" ht="16" x14ac:dyDescent="0.2">
      <c r="B171" s="13"/>
      <c r="C171" s="15" t="str">
        <f>IF(ISBLANK(B171),"",TEXT(B171, "dddd"))</f>
        <v/>
      </c>
      <c r="D171" s="15"/>
      <c r="E171" s="74"/>
      <c r="F171" s="11" t="s">
        <v>249</v>
      </c>
      <c r="G171" s="44"/>
      <c r="H171" s="16"/>
    </row>
    <row r="172" spans="2:8" ht="16" x14ac:dyDescent="0.2">
      <c r="B172" s="13"/>
      <c r="C172" s="15" t="str">
        <f>IF(ISBLANK(B172),"",TEXT(B172, "dddd"))</f>
        <v/>
      </c>
      <c r="D172" s="15"/>
      <c r="E172" s="74"/>
      <c r="F172" s="15"/>
      <c r="G172" s="44"/>
      <c r="H172" s="16"/>
    </row>
    <row r="173" spans="2:8" ht="16" x14ac:dyDescent="0.2">
      <c r="B173" s="13"/>
      <c r="C173" s="15" t="str">
        <f>IF(ISBLANK(B173),"",TEXT(B173, "dddd"))</f>
        <v/>
      </c>
      <c r="D173" s="15"/>
      <c r="E173" s="44"/>
      <c r="F173" s="15"/>
      <c r="G173" s="44"/>
      <c r="H173" s="17"/>
    </row>
    <row r="174" spans="2:8" ht="16" x14ac:dyDescent="0.2">
      <c r="B174" s="13"/>
      <c r="C174" s="15" t="str">
        <f>IF(ISBLANK(B174),"",TEXT(B174, "dddd"))</f>
        <v/>
      </c>
      <c r="D174" s="15"/>
      <c r="E174" s="44"/>
      <c r="F174" s="15"/>
      <c r="G174" s="44"/>
      <c r="H174" s="17"/>
    </row>
    <row r="175" spans="2:8" x14ac:dyDescent="0.2">
      <c r="B175" s="13"/>
      <c r="C175" s="15"/>
      <c r="D175" s="15"/>
      <c r="E175" s="44"/>
      <c r="F175" s="15"/>
      <c r="G175" s="44"/>
      <c r="H175" s="17"/>
    </row>
    <row r="176" spans="2:8" ht="16" x14ac:dyDescent="0.2">
      <c r="B176" s="13"/>
      <c r="C176" s="15" t="str">
        <f>IF(ISBLANK(B176),"",TEXT(B176, "dddd"))</f>
        <v/>
      </c>
      <c r="D176" s="15"/>
      <c r="E176" s="44"/>
      <c r="F176" s="15"/>
      <c r="G176" s="44"/>
      <c r="H176" s="17"/>
    </row>
    <row r="177" spans="2:8" ht="16" x14ac:dyDescent="0.2">
      <c r="B177" s="13"/>
      <c r="C177" s="15" t="str">
        <f>IF(ISBLANK(B177),"",TEXT(B177, "dddd"))</f>
        <v/>
      </c>
      <c r="D177" s="15"/>
      <c r="E177" s="44"/>
      <c r="F177" s="15"/>
      <c r="G177" s="44"/>
      <c r="H177" s="17"/>
    </row>
    <row r="178" spans="2:8" ht="16" x14ac:dyDescent="0.2">
      <c r="B178" s="13"/>
      <c r="C178" s="15" t="str">
        <f>IF(ISBLANK(B178),"",TEXT(B178, "dddd"))</f>
        <v/>
      </c>
      <c r="D178" s="15"/>
      <c r="E178" s="44"/>
      <c r="F178" s="15"/>
      <c r="G178" s="44"/>
      <c r="H178" s="17"/>
    </row>
    <row r="179" spans="2:8" ht="16" thickBot="1" x14ac:dyDescent="0.25">
      <c r="B179" s="46"/>
      <c r="C179" s="18"/>
      <c r="D179" s="18"/>
      <c r="E179" s="45"/>
      <c r="F179" s="18"/>
      <c r="G179" s="45"/>
      <c r="H179" s="19"/>
    </row>
  </sheetData>
  <autoFilter ref="B2:H179" xr:uid="{40A518F1-E8D1-4EDA-B8FC-EAEFD9F39116}">
    <sortState xmlns:xlrd2="http://schemas.microsoft.com/office/spreadsheetml/2017/richdata2" ref="B3:H179">
      <sortCondition ref="B2:B179"/>
    </sortState>
  </autoFilter>
  <conditionalFormatting sqref="B2:H500">
    <cfRule type="expression" dxfId="12" priority="7" stopIfTrue="1">
      <formula>$C2=Saturday</formula>
    </cfRule>
    <cfRule type="expression" dxfId="14" priority="8">
      <formula>$C2="Monday"</formula>
    </cfRule>
    <cfRule type="expression" dxfId="17" priority="9">
      <formula>$C2="Tuesday"</formula>
    </cfRule>
    <cfRule type="expression" dxfId="16" priority="10" stopIfTrue="1">
      <formula>$C2="Wednesday"</formula>
    </cfRule>
    <cfRule type="expression" dxfId="15" priority="11">
      <formula>$C2="Thursday"</formula>
    </cfRule>
    <cfRule type="expression" dxfId="13" priority="12">
      <formula>$C2="Friday"</formula>
    </cfRule>
  </conditionalFormatting>
  <dataValidations count="1">
    <dataValidation type="date" allowBlank="1" showInputMessage="1" showErrorMessage="1" sqref="E33:E179 H33:H179" xr:uid="{F96E5036-0CE7-4348-B733-74DDF2C8E069}">
      <formula1>45658</formula1>
      <formula2>46388</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94E0C-A444-1348-8A46-46138A1D3E36}">
  <dimension ref="B2:M3"/>
  <sheetViews>
    <sheetView tabSelected="1" zoomScale="193" zoomScaleNormal="193" workbookViewId="0">
      <pane xSplit="2" ySplit="2" topLeftCell="E3" activePane="bottomRight" state="frozen"/>
      <selection pane="topRight" activeCell="C1" sqref="C1"/>
      <selection pane="bottomLeft" activeCell="A3" sqref="A3"/>
      <selection pane="bottomRight" activeCell="H9" sqref="H9"/>
    </sheetView>
  </sheetViews>
  <sheetFormatPr baseColWidth="10" defaultRowHeight="15" x14ac:dyDescent="0.2"/>
  <cols>
    <col min="3" max="3" width="15.6640625" customWidth="1"/>
    <col min="4" max="4" width="16.83203125" customWidth="1"/>
    <col min="5" max="5" width="10.1640625" customWidth="1"/>
    <col min="6" max="6" width="8" customWidth="1"/>
  </cols>
  <sheetData>
    <row r="2" spans="2:13" ht="48" x14ac:dyDescent="0.2">
      <c r="C2" s="79" t="s">
        <v>280</v>
      </c>
      <c r="D2" s="79" t="s">
        <v>281</v>
      </c>
      <c r="E2" s="79" t="s">
        <v>282</v>
      </c>
      <c r="F2" s="79" t="s">
        <v>283</v>
      </c>
      <c r="G2" s="79" t="s">
        <v>284</v>
      </c>
      <c r="I2" s="79" t="s">
        <v>285</v>
      </c>
      <c r="J2" s="79" t="s">
        <v>286</v>
      </c>
      <c r="K2" s="79" t="s">
        <v>287</v>
      </c>
      <c r="L2" s="79" t="s">
        <v>288</v>
      </c>
      <c r="M2" s="79" t="s">
        <v>289</v>
      </c>
    </row>
    <row r="3" spans="2:13" x14ac:dyDescent="0.2">
      <c r="B3" s="48">
        <v>46076</v>
      </c>
      <c r="C3">
        <v>142</v>
      </c>
      <c r="I3">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02B44-67CA-224A-8B7B-AFB2F9E126A1}">
  <dimension ref="B6:C10"/>
  <sheetViews>
    <sheetView workbookViewId="0">
      <selection activeCell="B6" sqref="B6:B10"/>
    </sheetView>
  </sheetViews>
  <sheetFormatPr baseColWidth="10" defaultRowHeight="15" x14ac:dyDescent="0.2"/>
  <sheetData>
    <row r="6" spans="2:3" x14ac:dyDescent="0.2">
      <c r="B6" t="s">
        <v>54</v>
      </c>
      <c r="C6" t="s">
        <v>276</v>
      </c>
    </row>
    <row r="7" spans="2:3" x14ac:dyDescent="0.2">
      <c r="B7" t="s">
        <v>272</v>
      </c>
      <c r="C7" t="s">
        <v>277</v>
      </c>
    </row>
    <row r="8" spans="2:3" x14ac:dyDescent="0.2">
      <c r="B8" t="s">
        <v>273</v>
      </c>
      <c r="C8" t="s">
        <v>273</v>
      </c>
    </row>
    <row r="9" spans="2:3" x14ac:dyDescent="0.2">
      <c r="B9" t="s">
        <v>274</v>
      </c>
      <c r="C9" t="s">
        <v>278</v>
      </c>
    </row>
    <row r="10" spans="2:3" x14ac:dyDescent="0.2">
      <c r="B10" t="s">
        <v>275</v>
      </c>
      <c r="C10" t="s">
        <v>279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99CA-4416-4E89-816C-1EB7F12FACC6}">
  <dimension ref="B1:N28"/>
  <sheetViews>
    <sheetView topLeftCell="J1" zoomScaleNormal="100" workbookViewId="0">
      <selection activeCell="M20" sqref="M20"/>
    </sheetView>
  </sheetViews>
  <sheetFormatPr baseColWidth="10" defaultColWidth="8.83203125" defaultRowHeight="15" x14ac:dyDescent="0.2"/>
  <cols>
    <col min="2" max="3" width="18.33203125" customWidth="1"/>
    <col min="4" max="4" width="18.1640625" customWidth="1"/>
    <col min="6" max="6" width="5.5" bestFit="1" customWidth="1"/>
    <col min="7" max="7" width="11.83203125" customWidth="1"/>
    <col min="8" max="8" width="16" customWidth="1"/>
    <col min="9" max="9" width="23" customWidth="1"/>
    <col min="10" max="10" width="25.5" customWidth="1"/>
    <col min="11" max="11" width="24.1640625" customWidth="1"/>
    <col min="13" max="13" width="108.5" style="2" customWidth="1"/>
    <col min="14" max="14" width="9.33203125" customWidth="1"/>
  </cols>
  <sheetData>
    <row r="1" spans="2:14" ht="16" thickBot="1" x14ac:dyDescent="0.25"/>
    <row r="2" spans="2:14" ht="30" thickBot="1" x14ac:dyDescent="0.4">
      <c r="B2" s="76" t="s">
        <v>30</v>
      </c>
      <c r="C2" s="77"/>
      <c r="D2" s="77"/>
      <c r="E2" s="77"/>
      <c r="F2" s="77"/>
      <c r="G2" s="77"/>
      <c r="H2" s="77"/>
      <c r="I2" s="77"/>
      <c r="J2" s="77"/>
      <c r="K2" s="77"/>
      <c r="L2" s="77"/>
      <c r="M2" s="77"/>
      <c r="N2" s="78"/>
    </row>
    <row r="3" spans="2:14" ht="33" thickBot="1" x14ac:dyDescent="0.25">
      <c r="B3" s="6" t="s">
        <v>2</v>
      </c>
      <c r="C3" s="7" t="s">
        <v>30</v>
      </c>
      <c r="D3" s="7" t="s">
        <v>31</v>
      </c>
      <c r="E3" s="7" t="s">
        <v>32</v>
      </c>
      <c r="F3" s="7" t="s">
        <v>33</v>
      </c>
      <c r="G3" s="7" t="s">
        <v>34</v>
      </c>
      <c r="H3" s="7" t="s">
        <v>35</v>
      </c>
      <c r="I3" s="7" t="s">
        <v>94</v>
      </c>
      <c r="J3" s="7" t="s">
        <v>95</v>
      </c>
      <c r="K3" s="7" t="s">
        <v>36</v>
      </c>
      <c r="L3" s="7" t="s">
        <v>37</v>
      </c>
      <c r="M3" s="7" t="s">
        <v>38</v>
      </c>
      <c r="N3" s="8" t="s">
        <v>39</v>
      </c>
    </row>
    <row r="4" spans="2:14" ht="32" x14ac:dyDescent="0.2">
      <c r="B4" s="30" t="s">
        <v>40</v>
      </c>
      <c r="C4" s="31" t="s">
        <v>129</v>
      </c>
      <c r="D4" s="31" t="s">
        <v>41</v>
      </c>
      <c r="E4" s="31" t="s">
        <v>42</v>
      </c>
      <c r="F4" s="31" t="s">
        <v>43</v>
      </c>
      <c r="G4" s="32">
        <v>45610</v>
      </c>
      <c r="H4" s="34" t="s">
        <v>44</v>
      </c>
      <c r="I4" s="31" t="s">
        <v>45</v>
      </c>
      <c r="J4" s="31"/>
      <c r="K4" s="31" t="s">
        <v>46</v>
      </c>
      <c r="L4" s="31" t="s">
        <v>47</v>
      </c>
      <c r="M4" s="36" t="s">
        <v>48</v>
      </c>
      <c r="N4" s="33"/>
    </row>
    <row r="5" spans="2:14" ht="16" x14ac:dyDescent="0.2">
      <c r="B5" s="22" t="s">
        <v>40</v>
      </c>
      <c r="C5" s="23" t="s">
        <v>129</v>
      </c>
      <c r="D5" s="23" t="s">
        <v>54</v>
      </c>
      <c r="E5" s="23" t="s">
        <v>55</v>
      </c>
      <c r="F5" s="23" t="s">
        <v>43</v>
      </c>
      <c r="G5" s="24">
        <v>45966</v>
      </c>
      <c r="H5" s="35">
        <v>9492307588</v>
      </c>
      <c r="I5" s="23" t="s">
        <v>56</v>
      </c>
      <c r="J5" s="23"/>
      <c r="K5" s="23" t="s">
        <v>57</v>
      </c>
      <c r="L5" s="23" t="s">
        <v>47</v>
      </c>
      <c r="M5" s="11" t="s">
        <v>58</v>
      </c>
      <c r="N5" s="25"/>
    </row>
    <row r="6" spans="2:14" ht="32" x14ac:dyDescent="0.2">
      <c r="B6" s="22" t="s">
        <v>40</v>
      </c>
      <c r="C6" s="23" t="s">
        <v>129</v>
      </c>
      <c r="D6" s="23" t="s">
        <v>50</v>
      </c>
      <c r="E6" s="23" t="s">
        <v>51</v>
      </c>
      <c r="F6" s="23" t="s">
        <v>43</v>
      </c>
      <c r="G6" s="24">
        <v>45975</v>
      </c>
      <c r="H6" s="35">
        <v>5622575100</v>
      </c>
      <c r="I6" s="23" t="s">
        <v>52</v>
      </c>
      <c r="J6" s="23"/>
      <c r="K6" s="23"/>
      <c r="L6" s="23" t="s">
        <v>47</v>
      </c>
      <c r="M6" s="11" t="s">
        <v>53</v>
      </c>
      <c r="N6" s="25"/>
    </row>
    <row r="7" spans="2:14" ht="16" x14ac:dyDescent="0.2">
      <c r="B7" s="22" t="s">
        <v>49</v>
      </c>
      <c r="C7" s="23" t="s">
        <v>129</v>
      </c>
      <c r="D7" s="23" t="s">
        <v>59</v>
      </c>
      <c r="E7" s="23" t="s">
        <v>60</v>
      </c>
      <c r="F7" s="23" t="s">
        <v>61</v>
      </c>
      <c r="G7" s="24">
        <v>45973</v>
      </c>
      <c r="H7" s="35" t="s">
        <v>62</v>
      </c>
      <c r="I7" s="23" t="s">
        <v>63</v>
      </c>
      <c r="J7" s="23"/>
      <c r="K7" s="23" t="s">
        <v>64</v>
      </c>
      <c r="L7" s="23" t="s">
        <v>65</v>
      </c>
      <c r="M7" s="11" t="s">
        <v>66</v>
      </c>
      <c r="N7" s="25"/>
    </row>
    <row r="8" spans="2:14" ht="16" x14ac:dyDescent="0.2">
      <c r="B8" s="22" t="s">
        <v>49</v>
      </c>
      <c r="C8" s="23" t="s">
        <v>129</v>
      </c>
      <c r="D8" s="23" t="s">
        <v>67</v>
      </c>
      <c r="E8" s="23" t="s">
        <v>68</v>
      </c>
      <c r="F8" s="23" t="s">
        <v>69</v>
      </c>
      <c r="G8" s="24">
        <v>45973</v>
      </c>
      <c r="H8" s="35" t="s">
        <v>70</v>
      </c>
      <c r="I8" s="23" t="s">
        <v>71</v>
      </c>
      <c r="J8" s="23"/>
      <c r="K8" s="23" t="s">
        <v>72</v>
      </c>
      <c r="L8" s="23" t="s">
        <v>65</v>
      </c>
      <c r="M8" s="11" t="s">
        <v>73</v>
      </c>
      <c r="N8" s="25"/>
    </row>
    <row r="9" spans="2:14" ht="160" x14ac:dyDescent="0.2">
      <c r="B9" s="22" t="s">
        <v>96</v>
      </c>
      <c r="C9" s="23" t="s">
        <v>130</v>
      </c>
      <c r="D9" s="23" t="s">
        <v>102</v>
      </c>
      <c r="E9" s="23" t="s">
        <v>101</v>
      </c>
      <c r="F9" s="23" t="s">
        <v>109</v>
      </c>
      <c r="G9" s="24">
        <v>45992</v>
      </c>
      <c r="H9" s="23" t="s">
        <v>103</v>
      </c>
      <c r="I9" s="23" t="s">
        <v>104</v>
      </c>
      <c r="J9" s="23" t="s">
        <v>121</v>
      </c>
      <c r="K9" s="23" t="s">
        <v>120</v>
      </c>
      <c r="L9" s="23" t="s">
        <v>65</v>
      </c>
      <c r="M9" s="11" t="s">
        <v>123</v>
      </c>
      <c r="N9" s="25"/>
    </row>
    <row r="10" spans="2:14" ht="16" x14ac:dyDescent="0.2">
      <c r="B10" s="22" t="s">
        <v>74</v>
      </c>
      <c r="C10" s="23"/>
      <c r="D10" s="23" t="s">
        <v>75</v>
      </c>
      <c r="E10" s="23" t="s">
        <v>76</v>
      </c>
      <c r="F10" s="23" t="s">
        <v>43</v>
      </c>
      <c r="G10" s="24">
        <v>45968</v>
      </c>
      <c r="H10" s="35" t="s">
        <v>77</v>
      </c>
      <c r="I10" s="23" t="s">
        <v>78</v>
      </c>
      <c r="J10" s="23"/>
      <c r="K10" s="23" t="s">
        <v>79</v>
      </c>
      <c r="L10" s="23" t="s">
        <v>80</v>
      </c>
      <c r="M10" s="11" t="s">
        <v>81</v>
      </c>
      <c r="N10" s="25"/>
    </row>
    <row r="11" spans="2:14" ht="80" x14ac:dyDescent="0.2">
      <c r="B11" s="22" t="s">
        <v>74</v>
      </c>
      <c r="C11" s="23"/>
      <c r="D11" s="23" t="s">
        <v>82</v>
      </c>
      <c r="E11" s="23" t="s">
        <v>83</v>
      </c>
      <c r="F11" s="23" t="s">
        <v>43</v>
      </c>
      <c r="G11" s="24">
        <v>45967</v>
      </c>
      <c r="H11" s="35">
        <v>7075445575</v>
      </c>
      <c r="I11" s="23" t="s">
        <v>84</v>
      </c>
      <c r="J11" s="23"/>
      <c r="K11" s="23" t="s">
        <v>85</v>
      </c>
      <c r="L11" s="23" t="s">
        <v>47</v>
      </c>
      <c r="M11" s="11" t="s">
        <v>113</v>
      </c>
      <c r="N11" s="25"/>
    </row>
    <row r="12" spans="2:14" ht="32" x14ac:dyDescent="0.2">
      <c r="B12" s="22" t="s">
        <v>74</v>
      </c>
      <c r="C12" s="23"/>
      <c r="D12" s="23" t="s">
        <v>86</v>
      </c>
      <c r="E12" s="23" t="s">
        <v>87</v>
      </c>
      <c r="F12" s="23" t="s">
        <v>43</v>
      </c>
      <c r="G12" s="24">
        <v>45967</v>
      </c>
      <c r="H12" s="35">
        <v>5629978800</v>
      </c>
      <c r="I12" s="23" t="s">
        <v>88</v>
      </c>
      <c r="J12" s="23"/>
      <c r="K12" s="23" t="s">
        <v>89</v>
      </c>
      <c r="L12" s="23" t="s">
        <v>47</v>
      </c>
      <c r="M12" s="11" t="s">
        <v>114</v>
      </c>
      <c r="N12" s="25"/>
    </row>
    <row r="13" spans="2:14" ht="32" x14ac:dyDescent="0.2">
      <c r="B13" s="22" t="s">
        <v>74</v>
      </c>
      <c r="C13" s="23"/>
      <c r="D13" s="23" t="s">
        <v>128</v>
      </c>
      <c r="E13" s="23" t="s">
        <v>125</v>
      </c>
      <c r="F13" s="23"/>
      <c r="G13" s="24">
        <v>45975</v>
      </c>
      <c r="H13" s="23">
        <v>9294137405</v>
      </c>
      <c r="I13" s="37" t="s">
        <v>126</v>
      </c>
      <c r="J13" s="23"/>
      <c r="K13" s="23" t="s">
        <v>127</v>
      </c>
      <c r="L13" s="23" t="s">
        <v>47</v>
      </c>
      <c r="M13" s="11" t="s">
        <v>133</v>
      </c>
      <c r="N13" s="25"/>
    </row>
    <row r="14" spans="2:14" ht="32" x14ac:dyDescent="0.2">
      <c r="B14" s="22" t="s">
        <v>105</v>
      </c>
      <c r="C14" s="23"/>
      <c r="D14" s="23" t="s">
        <v>111</v>
      </c>
      <c r="E14" s="23"/>
      <c r="F14" s="23" t="s">
        <v>116</v>
      </c>
      <c r="G14" s="24">
        <v>45992</v>
      </c>
      <c r="H14" s="23"/>
      <c r="I14" s="23" t="s">
        <v>97</v>
      </c>
      <c r="J14" s="23" t="s">
        <v>97</v>
      </c>
      <c r="K14" s="23" t="s">
        <v>112</v>
      </c>
      <c r="L14" s="23" t="s">
        <v>65</v>
      </c>
      <c r="M14" s="11" t="s">
        <v>124</v>
      </c>
      <c r="N14" s="25"/>
    </row>
    <row r="15" spans="2:14" ht="63" customHeight="1" x14ac:dyDescent="0.2">
      <c r="B15" s="22" t="s">
        <v>74</v>
      </c>
      <c r="C15" s="23"/>
      <c r="D15" s="23" t="s">
        <v>110</v>
      </c>
      <c r="E15" s="23" t="s">
        <v>98</v>
      </c>
      <c r="F15" s="23" t="s">
        <v>43</v>
      </c>
      <c r="G15" s="24">
        <v>45993</v>
      </c>
      <c r="H15" s="23"/>
      <c r="I15" s="23" t="s">
        <v>100</v>
      </c>
      <c r="J15" s="23" t="s">
        <v>100</v>
      </c>
      <c r="K15" s="23" t="s">
        <v>117</v>
      </c>
      <c r="L15" s="23" t="s">
        <v>80</v>
      </c>
      <c r="M15" s="11" t="s">
        <v>142</v>
      </c>
      <c r="N15" s="25"/>
    </row>
    <row r="16" spans="2:14" ht="48" x14ac:dyDescent="0.2">
      <c r="B16" s="22" t="s">
        <v>105</v>
      </c>
      <c r="C16" s="23"/>
      <c r="D16" s="23" t="s">
        <v>99</v>
      </c>
      <c r="E16" s="23"/>
      <c r="F16" s="23" t="s">
        <v>119</v>
      </c>
      <c r="G16" s="24">
        <v>45992</v>
      </c>
      <c r="H16" s="23"/>
      <c r="I16" s="23" t="s">
        <v>100</v>
      </c>
      <c r="J16" s="23" t="s">
        <v>100</v>
      </c>
      <c r="K16" s="23" t="s">
        <v>118</v>
      </c>
      <c r="L16" s="23" t="s">
        <v>65</v>
      </c>
      <c r="M16" s="11" t="s">
        <v>122</v>
      </c>
      <c r="N16" s="25"/>
    </row>
    <row r="17" spans="2:14" ht="80" x14ac:dyDescent="0.2">
      <c r="B17" s="22" t="s">
        <v>106</v>
      </c>
      <c r="C17" s="23"/>
      <c r="D17" s="23" t="s">
        <v>90</v>
      </c>
      <c r="E17" s="23" t="s">
        <v>91</v>
      </c>
      <c r="F17" s="23" t="s">
        <v>43</v>
      </c>
      <c r="G17" s="24">
        <v>45966</v>
      </c>
      <c r="H17" s="35">
        <v>3238521900</v>
      </c>
      <c r="I17" s="23" t="s">
        <v>92</v>
      </c>
      <c r="J17" s="23"/>
      <c r="K17" s="23" t="s">
        <v>93</v>
      </c>
      <c r="L17" s="23" t="s">
        <v>47</v>
      </c>
      <c r="M17" s="11" t="s">
        <v>115</v>
      </c>
      <c r="N17" s="26">
        <v>45789</v>
      </c>
    </row>
    <row r="18" spans="2:14" x14ac:dyDescent="0.2">
      <c r="B18" s="22"/>
      <c r="C18" s="23"/>
      <c r="D18" s="23"/>
      <c r="E18" s="23"/>
      <c r="F18" s="23"/>
      <c r="G18" s="23"/>
      <c r="H18" s="23"/>
      <c r="I18" s="23"/>
      <c r="J18" s="23"/>
      <c r="K18" s="23"/>
      <c r="L18" s="23"/>
      <c r="M18" s="11"/>
      <c r="N18" s="25"/>
    </row>
    <row r="19" spans="2:14" x14ac:dyDescent="0.2">
      <c r="B19" s="22"/>
      <c r="C19" s="23"/>
      <c r="D19" s="23"/>
      <c r="E19" s="23"/>
      <c r="F19" s="23"/>
      <c r="G19" s="23"/>
      <c r="H19" s="23"/>
      <c r="I19" s="23"/>
      <c r="J19" s="23"/>
      <c r="K19" s="23"/>
      <c r="L19" s="23"/>
      <c r="M19" s="11"/>
      <c r="N19" s="25"/>
    </row>
    <row r="20" spans="2:14" x14ac:dyDescent="0.2">
      <c r="B20" s="22"/>
      <c r="C20" s="23"/>
      <c r="D20" s="23"/>
      <c r="E20" s="23"/>
      <c r="F20" s="23"/>
      <c r="G20" s="23"/>
      <c r="H20" s="23"/>
      <c r="I20" s="23"/>
      <c r="J20" s="23"/>
      <c r="K20" s="23"/>
      <c r="L20" s="23"/>
      <c r="M20" s="11"/>
      <c r="N20" s="25"/>
    </row>
    <row r="21" spans="2:14" x14ac:dyDescent="0.2">
      <c r="B21" s="22"/>
      <c r="C21" s="23"/>
      <c r="D21" s="23"/>
      <c r="E21" s="23"/>
      <c r="F21" s="23"/>
      <c r="G21" s="23"/>
      <c r="H21" s="23"/>
      <c r="I21" s="23"/>
      <c r="J21" s="23"/>
      <c r="K21" s="23"/>
      <c r="L21" s="23"/>
      <c r="M21" s="11"/>
      <c r="N21" s="25"/>
    </row>
    <row r="22" spans="2:14" x14ac:dyDescent="0.2">
      <c r="B22" s="22"/>
      <c r="C22" s="23"/>
      <c r="D22" s="23"/>
      <c r="E22" s="23"/>
      <c r="F22" s="23"/>
      <c r="G22" s="23"/>
      <c r="H22" s="23"/>
      <c r="I22" s="23"/>
      <c r="J22" s="23"/>
      <c r="K22" s="23"/>
      <c r="L22" s="23"/>
      <c r="M22" s="11"/>
      <c r="N22" s="25"/>
    </row>
    <row r="23" spans="2:14" x14ac:dyDescent="0.2">
      <c r="B23" s="22"/>
      <c r="C23" s="23"/>
      <c r="D23" s="23"/>
      <c r="E23" s="23"/>
      <c r="F23" s="23"/>
      <c r="G23" s="23"/>
      <c r="H23" s="23"/>
      <c r="I23" s="23"/>
      <c r="J23" s="23"/>
      <c r="K23" s="23"/>
      <c r="L23" s="23"/>
      <c r="M23" s="11"/>
      <c r="N23" s="25"/>
    </row>
    <row r="24" spans="2:14" x14ac:dyDescent="0.2">
      <c r="B24" s="22"/>
      <c r="C24" s="23"/>
      <c r="D24" s="23"/>
      <c r="E24" s="23"/>
      <c r="F24" s="23"/>
      <c r="G24" s="23"/>
      <c r="H24" s="23"/>
      <c r="I24" s="23"/>
      <c r="J24" s="23"/>
      <c r="K24" s="23"/>
      <c r="L24" s="23"/>
      <c r="M24" s="11"/>
      <c r="N24" s="25"/>
    </row>
    <row r="25" spans="2:14" x14ac:dyDescent="0.2">
      <c r="B25" s="22"/>
      <c r="C25" s="23"/>
      <c r="D25" s="23"/>
      <c r="E25" s="23"/>
      <c r="F25" s="23"/>
      <c r="G25" s="23"/>
      <c r="H25" s="23"/>
      <c r="I25" s="23"/>
      <c r="J25" s="23"/>
      <c r="K25" s="23"/>
      <c r="L25" s="23"/>
      <c r="M25" s="11"/>
      <c r="N25" s="25"/>
    </row>
    <row r="26" spans="2:14" x14ac:dyDescent="0.2">
      <c r="B26" s="22"/>
      <c r="C26" s="23"/>
      <c r="D26" s="23"/>
      <c r="E26" s="23"/>
      <c r="F26" s="23"/>
      <c r="G26" s="23"/>
      <c r="H26" s="23"/>
      <c r="I26" s="23"/>
      <c r="J26" s="23"/>
      <c r="K26" s="23"/>
      <c r="L26" s="23"/>
      <c r="M26" s="11"/>
      <c r="N26" s="25"/>
    </row>
    <row r="27" spans="2:14" x14ac:dyDescent="0.2">
      <c r="B27" s="22"/>
      <c r="C27" s="23"/>
      <c r="D27" s="23"/>
      <c r="E27" s="23"/>
      <c r="F27" s="23"/>
      <c r="G27" s="23"/>
      <c r="H27" s="23"/>
      <c r="I27" s="23"/>
      <c r="J27" s="23"/>
      <c r="K27" s="23"/>
      <c r="L27" s="23"/>
      <c r="M27" s="11"/>
      <c r="N27" s="25"/>
    </row>
    <row r="28" spans="2:14" ht="16" thickBot="1" x14ac:dyDescent="0.25">
      <c r="B28" s="27"/>
      <c r="C28" s="28"/>
      <c r="D28" s="28"/>
      <c r="E28" s="28"/>
      <c r="F28" s="28"/>
      <c r="G28" s="28"/>
      <c r="H28" s="28"/>
      <c r="I28" s="28"/>
      <c r="J28" s="28"/>
      <c r="K28" s="28"/>
      <c r="L28" s="28"/>
      <c r="M28" s="12"/>
      <c r="N28" s="29"/>
    </row>
  </sheetData>
  <autoFilter ref="B3:N28" xr:uid="{80CF99CA-4416-4E89-816C-1EB7F12FACC6}">
    <sortState xmlns:xlrd2="http://schemas.microsoft.com/office/spreadsheetml/2017/richdata2" ref="B4:N28">
      <sortCondition ref="B3:B28"/>
    </sortState>
  </autoFilter>
  <mergeCells count="1">
    <mergeCell ref="B2:N2"/>
  </mergeCells>
  <conditionalFormatting sqref="B4:N28">
    <cfRule type="expression" dxfId="36" priority="1">
      <formula>LEFT($B4,1)="7"</formula>
    </cfRule>
    <cfRule type="expression" dxfId="35" priority="2">
      <formula>LEFT($B4,1)="1"</formula>
    </cfRule>
    <cfRule type="expression" dxfId="34" priority="3">
      <formula>LEFT($B4,1)="2"</formula>
    </cfRule>
    <cfRule type="expression" dxfId="33" priority="4">
      <formula>LEFT($B4,1)="3"</formula>
    </cfRule>
    <cfRule type="expression" dxfId="32" priority="5">
      <formula>LEFT($B4,1)="4"</formula>
    </cfRule>
    <cfRule type="expression" dxfId="31" priority="6">
      <formula>LEFT($B4,1)="5"</formula>
    </cfRule>
    <cfRule type="expression" dxfId="30" priority="7">
      <formula>LEFT($B4,1)="6"</formula>
    </cfRule>
  </conditionalFormatting>
  <hyperlinks>
    <hyperlink ref="I13" r:id="rId1" xr:uid="{1207F46D-1E59-4574-B718-BE85A10932E8}"/>
  </hyperlinks>
  <pageMargins left="0.7" right="0.7" top="0.75" bottom="0.75" header="0.3" footer="0.3"/>
  <pageSetup orientation="portrait" horizontalDpi="1200" verticalDpi="1200" r:id="rId2"/>
  <extLst>
    <ext xmlns:x14="http://schemas.microsoft.com/office/spreadsheetml/2009/9/main" uri="{CCE6A557-97BC-4b89-ADB6-D9C93CAAB3DF}">
      <x14:dataValidations xmlns:xm="http://schemas.microsoft.com/office/excel/2006/main" count="1">
        <x14:dataValidation type="list" allowBlank="1" showInputMessage="1" showErrorMessage="1" xr:uid="{1211DC0C-BAD0-476D-96CB-5D94AF742CCE}">
          <x14:formula1>
            <xm:f>Sheet2!$B$3:$B$9</xm:f>
          </x14:formula1>
          <xm:sqref>B4:B28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4BDE-9139-43BE-8886-A956CCD7558E}">
  <dimension ref="B2:B9"/>
  <sheetViews>
    <sheetView workbookViewId="0">
      <selection activeCell="B10" sqref="B10"/>
    </sheetView>
  </sheetViews>
  <sheetFormatPr baseColWidth="10" defaultColWidth="8.83203125" defaultRowHeight="15" x14ac:dyDescent="0.2"/>
  <sheetData>
    <row r="2" spans="2:2" x14ac:dyDescent="0.2">
      <c r="B2" s="20" t="s">
        <v>2</v>
      </c>
    </row>
    <row r="3" spans="2:2" x14ac:dyDescent="0.2">
      <c r="B3" s="21" t="s">
        <v>40</v>
      </c>
    </row>
    <row r="4" spans="2:2" x14ac:dyDescent="0.2">
      <c r="B4" s="21" t="s">
        <v>107</v>
      </c>
    </row>
    <row r="5" spans="2:2" x14ac:dyDescent="0.2">
      <c r="B5" s="21" t="s">
        <v>96</v>
      </c>
    </row>
    <row r="6" spans="2:2" x14ac:dyDescent="0.2">
      <c r="B6" s="21" t="s">
        <v>74</v>
      </c>
    </row>
    <row r="7" spans="2:2" x14ac:dyDescent="0.2">
      <c r="B7" s="21" t="s">
        <v>105</v>
      </c>
    </row>
    <row r="8" spans="2:2" x14ac:dyDescent="0.2">
      <c r="B8" s="21" t="s">
        <v>106</v>
      </c>
    </row>
    <row r="9" spans="2:2" x14ac:dyDescent="0.2">
      <c r="B9" s="21"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To Do</vt:lpstr>
      <vt:lpstr>Sheet3</vt:lpstr>
      <vt:lpstr>Sheet1</vt:lpstr>
      <vt:lpstr>Beta Leads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Alec Kleinman</cp:lastModifiedBy>
  <dcterms:created xsi:type="dcterms:W3CDTF">2015-06-05T18:17:20Z</dcterms:created>
  <dcterms:modified xsi:type="dcterms:W3CDTF">2026-02-25T20:25:33Z</dcterms:modified>
</cp:coreProperties>
</file>